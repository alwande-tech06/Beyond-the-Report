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kazimulo\Downloads\"/>
    </mc:Choice>
  </mc:AlternateContent>
  <xr:revisionPtr revIDLastSave="0" documentId="8_{11B636F7-B01F-4F05-A0F8-80F24280C55C}" xr6:coauthVersionLast="36" xr6:coauthVersionMax="36" xr10:uidLastSave="{00000000-0000-0000-0000-000000000000}"/>
  <bookViews>
    <workbookView xWindow="0" yWindow="0" windowWidth="20490" windowHeight="7125" xr2:uid="{E7651786-F35E-40B5-BC0E-2C0CD2878B98}"/>
  </bookViews>
  <sheets>
    <sheet name="Income Statement" sheetId="2" r:id="rId1"/>
    <sheet name="Financial Position" sheetId="3" r:id="rId2"/>
    <sheet name="Cash flow" sheetId="1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8" i="1" l="1"/>
  <c r="F48" i="1"/>
  <c r="F47" i="1"/>
  <c r="G46" i="1"/>
  <c r="F46" i="1"/>
  <c r="G45" i="1"/>
  <c r="F45" i="1"/>
  <c r="G37" i="1"/>
  <c r="F37" i="1"/>
  <c r="G36" i="1"/>
  <c r="F36" i="1"/>
  <c r="G35" i="1"/>
  <c r="F35" i="1"/>
  <c r="G34" i="1"/>
  <c r="F34" i="1"/>
  <c r="G39" i="1"/>
  <c r="F39" i="1"/>
  <c r="G41" i="1"/>
  <c r="F41" i="1"/>
  <c r="G42" i="1"/>
  <c r="F42" i="1"/>
  <c r="G43" i="1"/>
  <c r="F43" i="1"/>
  <c r="G40" i="1"/>
  <c r="F40" i="1"/>
  <c r="G38" i="1"/>
  <c r="F38" i="1"/>
  <c r="G31" i="1"/>
  <c r="F31" i="1"/>
  <c r="G30" i="1"/>
  <c r="F30" i="1"/>
  <c r="G29" i="1"/>
  <c r="F29" i="1"/>
  <c r="G22" i="1"/>
  <c r="F22" i="1"/>
  <c r="G21" i="1"/>
  <c r="F21" i="1"/>
  <c r="G20" i="1"/>
  <c r="F20" i="1"/>
  <c r="G24" i="1"/>
  <c r="F24" i="1"/>
  <c r="G23" i="1"/>
  <c r="F23" i="1"/>
  <c r="G26" i="1"/>
  <c r="F26" i="1"/>
  <c r="G28" i="1"/>
  <c r="F28" i="1"/>
  <c r="G27" i="1"/>
  <c r="F27" i="1"/>
  <c r="G25" i="1"/>
  <c r="F25" i="1"/>
  <c r="G19" i="1"/>
  <c r="F19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G6" i="1"/>
  <c r="F6" i="1"/>
  <c r="G5" i="1"/>
  <c r="F5" i="1"/>
  <c r="E48" i="1"/>
  <c r="E47" i="1"/>
  <c r="E46" i="1"/>
  <c r="E45" i="1"/>
  <c r="E42" i="1"/>
  <c r="E41" i="1"/>
  <c r="E40" i="1"/>
  <c r="E39" i="1"/>
  <c r="E38" i="1"/>
  <c r="E32" i="1"/>
  <c r="E31" i="1"/>
  <c r="E30" i="1"/>
  <c r="E29" i="1"/>
  <c r="E28" i="1"/>
  <c r="E26" i="1"/>
  <c r="E25" i="1"/>
  <c r="E24" i="1"/>
  <c r="E23" i="1"/>
  <c r="E19" i="1"/>
  <c r="C19" i="1"/>
  <c r="E18" i="1"/>
  <c r="E17" i="1"/>
  <c r="E16" i="1"/>
  <c r="E15" i="1"/>
  <c r="E14" i="1"/>
  <c r="E13" i="1"/>
  <c r="E12" i="1"/>
  <c r="E11" i="1"/>
  <c r="E10" i="1"/>
  <c r="E9" i="1"/>
  <c r="E8" i="1"/>
  <c r="E6" i="1"/>
  <c r="E5" i="1"/>
  <c r="F49" i="3"/>
  <c r="E49" i="3"/>
  <c r="F48" i="3"/>
  <c r="E48" i="3"/>
  <c r="F47" i="3"/>
  <c r="E47" i="3"/>
  <c r="F46" i="3"/>
  <c r="E46" i="3"/>
  <c r="F44" i="3"/>
  <c r="E44" i="3"/>
  <c r="F43" i="3"/>
  <c r="E43" i="3"/>
  <c r="F42" i="3"/>
  <c r="E42" i="3"/>
  <c r="F41" i="3"/>
  <c r="E41" i="3"/>
  <c r="F40" i="3"/>
  <c r="E40" i="3"/>
  <c r="F39" i="3"/>
  <c r="E39" i="3"/>
  <c r="E38" i="3"/>
  <c r="F38" i="3"/>
  <c r="F37" i="3"/>
  <c r="E37" i="3"/>
  <c r="E36" i="3"/>
  <c r="F36" i="3"/>
  <c r="F35" i="3"/>
  <c r="E35" i="3"/>
  <c r="F34" i="3"/>
  <c r="E34" i="3"/>
  <c r="F33" i="3"/>
  <c r="E33" i="3"/>
  <c r="E32" i="3"/>
  <c r="F32" i="3"/>
  <c r="F31" i="3"/>
  <c r="E31" i="3"/>
  <c r="F30" i="3"/>
  <c r="E30" i="3"/>
  <c r="E29" i="3"/>
  <c r="F29" i="3"/>
  <c r="F28" i="3"/>
  <c r="E28" i="3"/>
  <c r="E27" i="3"/>
  <c r="F27" i="3"/>
  <c r="F26" i="3"/>
  <c r="E26" i="3"/>
  <c r="E25" i="3"/>
  <c r="F25" i="3"/>
  <c r="F24" i="3"/>
  <c r="E24" i="3"/>
  <c r="E21" i="3"/>
  <c r="F21" i="3"/>
  <c r="F20" i="3"/>
  <c r="F19" i="3"/>
  <c r="E19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E8" i="3"/>
  <c r="F8" i="3"/>
  <c r="F7" i="3"/>
  <c r="E7" i="3"/>
  <c r="E6" i="3"/>
  <c r="F6" i="3"/>
  <c r="F5" i="3"/>
  <c r="E5" i="3"/>
  <c r="D49" i="3"/>
  <c r="D48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1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</calcChain>
</file>

<file path=xl/sharedStrings.xml><?xml version="1.0" encoding="utf-8"?>
<sst xmlns="http://schemas.openxmlformats.org/spreadsheetml/2006/main" count="194" uniqueCount="173">
  <si>
    <t>Cash flows from operating activities</t>
  </si>
  <si>
    <t>8 380</t>
  </si>
  <si>
    <t>8 425</t>
  </si>
  <si>
    <t>Cash generated by operations (note 9)</t>
  </si>
  <si>
    <t>10 040</t>
  </si>
  <si>
    <t>10 432</t>
  </si>
  <si>
    <t>Interest received</t>
  </si>
  <si>
    <t>1 680</t>
  </si>
  <si>
    <t>1 720</t>
  </si>
  <si>
    <t>Interest paid</t>
  </si>
  <si>
    <t>(1 059)</t>
  </si>
  <si>
    <t>(1 095)</t>
  </si>
  <si>
    <t>Tax paid</t>
  </si>
  <si>
    <t>(2 281)</t>
  </si>
  <si>
    <t>(2 632)</t>
  </si>
  <si>
    <t>Cash flows from investing activities</t>
  </si>
  <si>
    <t>(1 867)</t>
  </si>
  <si>
    <t>1 084</t>
  </si>
  <si>
    <t>Property, plant and equipment acquired (note 12)</t>
  </si>
  <si>
    <t>(5 099)</t>
  </si>
  <si>
    <t>(2 448)</t>
  </si>
  <si>
    <t>Intangible assets acquired</t>
  </si>
  <si>
    <t>Proceeds from disposal of property, plant and equipment</t>
  </si>
  <si>
    <t>Cash received from other financial assets at amortised cost</t>
  </si>
  <si>
    <t>ESD loans granted</t>
  </si>
  <si>
    <t>ESD loans settled</t>
  </si>
  <si>
    <t>Intervention receivable granted</t>
  </si>
  <si>
    <t>Deposit facilities placed</t>
  </si>
  <si>
    <t>Lease receivables settled</t>
  </si>
  <si>
    <t>Dividends received from equity-accounted investments</t>
  </si>
  <si>
    <t>3 367</t>
  </si>
  <si>
    <t>3 871</t>
  </si>
  <si>
    <t>Cash flows from financing activities</t>
  </si>
  <si>
    <t>(3 192)</t>
  </si>
  <si>
    <t>(8 742)</t>
  </si>
  <si>
    <t>Interest-bearing borrowings raised (note 15)</t>
  </si>
  <si>
    <t>7 365</t>
  </si>
  <si>
    <t>Interest-bearing borrowings repaid (note 15)</t>
  </si>
  <si>
    <t>(3 375)</t>
  </si>
  <si>
    <t>(1 397)</t>
  </si>
  <si>
    <t>Transaction costs paid on interest-bearing borrowings raised</t>
  </si>
  <si>
    <t>Lease liabilities paid (note 16)</t>
  </si>
  <si>
    <t>Dividends paid to owners of the parent (note 5)</t>
  </si>
  <si>
    <t>(4 071)</t>
  </si>
  <si>
    <t>(5 744)</t>
  </si>
  <si>
    <t>Dividends paid to NCI BEE Parties</t>
  </si>
  <si>
    <t>(1 382)</t>
  </si>
  <si>
    <t>(1 893)</t>
  </si>
  <si>
    <t>Dividends paid to NCI of Tsitsikamma SPV and Amakhala SPV</t>
  </si>
  <si>
    <t>Shares acquired in the market to settle share-based payments</t>
  </si>
  <si>
    <t>Shares repurchased including transaction costs</t>
  </si>
  <si>
    <t>(1 220)</t>
  </si>
  <si>
    <t>Net increase in cash and cash equivalents</t>
  </si>
  <si>
    <t>3 321</t>
  </si>
  <si>
    <t>Cash and cash equivalents at beginning of the year</t>
  </si>
  <si>
    <t>20 630</t>
  </si>
  <si>
    <t>19 859</t>
  </si>
  <si>
    <t>Translation difference on movement in cash and cash equivalents</t>
  </si>
  <si>
    <t>Cash and cash equivalents at end of the year</t>
  </si>
  <si>
    <t>23 690</t>
  </si>
  <si>
    <r>
      <t>Proceeds from disposal of subsidiary</t>
    </r>
    <r>
      <rPr>
        <vertAlign val="superscript"/>
        <sz val="12"/>
        <color rgb="FF333333"/>
        <rFont val="Calibri"/>
        <family val="2"/>
      </rPr>
      <t>1</t>
    </r>
  </si>
  <si>
    <r>
      <t>Acquisition debt settled</t>
    </r>
    <r>
      <rPr>
        <vertAlign val="superscript"/>
        <sz val="12"/>
        <color rgb="FF333333"/>
        <rFont val="Calibri"/>
        <family val="2"/>
      </rPr>
      <t>2</t>
    </r>
  </si>
  <si>
    <t>2025 </t>
  </si>
  <si>
    <t>2024 </t>
  </si>
  <si>
    <t>Revenue (note 7)</t>
  </si>
  <si>
    <t>Operating expenses (note 8)</t>
  </si>
  <si>
    <r>
      <t>Operating profit</t>
    </r>
    <r>
      <rPr>
        <sz val="11"/>
        <color rgb="FF5E8279"/>
        <rFont val="Calibri"/>
        <family val="2"/>
      </rPr>
      <t> </t>
    </r>
  </si>
  <si>
    <t>Gain on disposal of subsidiary </t>
  </si>
  <si>
    <r>
      <t>Net operating profit</t>
    </r>
    <r>
      <rPr>
        <sz val="11"/>
        <color rgb="FF5E8279"/>
        <rFont val="Calibri"/>
        <family val="2"/>
      </rPr>
      <t> </t>
    </r>
  </si>
  <si>
    <t>Finance income (note 10)</t>
  </si>
  <si>
    <t>Finance costs (note 10)</t>
  </si>
  <si>
    <t>Share of income of equity-accounted investments (note 11)</t>
  </si>
  <si>
    <r>
      <t>Profit before tax </t>
    </r>
    <r>
      <rPr>
        <sz val="11"/>
        <color rgb="FF5E8279"/>
        <rFont val="Calibri"/>
        <family val="2"/>
      </rPr>
      <t> </t>
    </r>
  </si>
  <si>
    <t>Income tax expense </t>
  </si>
  <si>
    <r>
      <t>Profit for the year</t>
    </r>
    <r>
      <rPr>
        <sz val="11"/>
        <color rgb="FF5E8279"/>
        <rFont val="Calibri"/>
        <family val="2"/>
      </rPr>
      <t> </t>
    </r>
  </si>
  <si>
    <r>
      <t>Other comprehensive loss, net of tax </t>
    </r>
    <r>
      <rPr>
        <sz val="11"/>
        <color rgb="FF5E8279"/>
        <rFont val="Calibri"/>
        <family val="2"/>
      </rPr>
      <t> </t>
    </r>
  </si>
  <si>
    <t>Items that will not be reclassified to profit or loss </t>
  </si>
  <si>
    <t>– Remeasurement of retirement employee obligations </t>
  </si>
  <si>
    <t>– Changes in fair value of equity investments at FVOCI </t>
  </si>
  <si>
    <t>– Share of OCI of equity-accounted investments </t>
  </si>
  <si>
    <t>Items that may subsequently be reclassified to profit or loss </t>
  </si>
  <si>
    <t>– Unrealised exchange differences on translation of foreign operations  </t>
  </si>
  <si>
    <t>– Changes in fair value on cash flow hedges </t>
  </si>
  <si>
    <t>– Changes in fair value on costs of hedging </t>
  </si>
  <si>
    <t>Items that have subsequently been reclassified to profit or loss </t>
  </si>
  <si>
    <t>– Recycling of changes in fair value on cash flow hedges </t>
  </si>
  <si>
    <r>
      <t>Total comprehensive income for the year</t>
    </r>
    <r>
      <rPr>
        <sz val="11"/>
        <color rgb="FF5E8279"/>
        <rFont val="Calibri"/>
        <family val="2"/>
      </rPr>
      <t> </t>
    </r>
  </si>
  <si>
    <t>Rm</t>
  </si>
  <si>
    <t>ASSETS</t>
  </si>
  <si>
    <t>Non-current assets</t>
  </si>
  <si>
    <t>Property, plant and equipment</t>
  </si>
  <si>
    <t>Intangible assets</t>
  </si>
  <si>
    <t>Right-of-use assets</t>
  </si>
  <si>
    <t>Equity-accounted investments (note 13)</t>
  </si>
  <si>
    <t>Financial assets (note 20)</t>
  </si>
  <si>
    <t>Deferred tax</t>
  </si>
  <si>
    <t>Other assets (note 14)</t>
  </si>
  <si>
    <t>Current assets</t>
  </si>
  <si>
    <t>Inventories</t>
  </si>
  <si>
    <t>Trade and other receivables (note 20)</t>
  </si>
  <si>
    <t>Cash and cash equivalents (note 20)</t>
  </si>
  <si>
    <t>Current tax receivables</t>
  </si>
  <si>
    <t>Total assets</t>
  </si>
  <si>
    <t>EQUITY AND LIABILITIES</t>
  </si>
  <si>
    <t>Capital and other components of equity</t>
  </si>
  <si>
    <t>Share capital</t>
  </si>
  <si>
    <t>Other components of equity</t>
  </si>
  <si>
    <t>Retained earnings</t>
  </si>
  <si>
    <t>Equity attributable to owners of the parent</t>
  </si>
  <si>
    <t>Non-controlling interests</t>
  </si>
  <si>
    <t>Total equity</t>
  </si>
  <si>
    <t>Non-current liabilities</t>
  </si>
  <si>
    <t>Interest-bearing borrowings (note 15)</t>
  </si>
  <si>
    <t>Lease liabilities (note 16)</t>
  </si>
  <si>
    <t>Other payables (note 20)</t>
  </si>
  <si>
    <t>Provisions (note 18)</t>
  </si>
  <si>
    <t>Retirement employee obligations</t>
  </si>
  <si>
    <t>Financial liabilities (note 20)</t>
  </si>
  <si>
    <t>Other liabilities (note 19)</t>
  </si>
  <si>
    <t>Current liabilities</t>
  </si>
  <si>
    <t>Trade and other payables (note 20)</t>
  </si>
  <si>
    <t>Current tax payables</t>
  </si>
  <si>
    <t>Other liabilities (note 19)</t>
  </si>
  <si>
    <t>Total liabilities</t>
  </si>
  <si>
    <t>Total equity and liabilities</t>
  </si>
  <si>
    <t>Condensed group statement of cash flows For the year ended 31 December</t>
  </si>
  <si>
    <t>RM</t>
  </si>
  <si>
    <t>Impairment charges of non-current operating assets  </t>
  </si>
  <si>
    <t>Income from financial assets  </t>
  </si>
  <si>
    <t>Impairment charges of equity-accounted investments  </t>
  </si>
  <si>
    <t>Profit for the year from continuing operations  </t>
  </si>
  <si>
    <t>Profit for the year from discontinued operations (note 8)</t>
  </si>
  <si>
    <t>– Recycling of unrealised exchange differences on translation of foreign operations  </t>
  </si>
  <si>
    <t>– Recycling of share of OCI of equity-accounted investments  </t>
  </si>
  <si>
    <t>Rm </t>
  </si>
  <si>
    <t>Non-current assets held-for-sale </t>
  </si>
  <si>
    <t>Overdraft (note 17)</t>
  </si>
  <si>
    <t>32 771</t>
  </si>
  <si>
    <t>28 924</t>
  </si>
  <si>
    <t>(24 343)</t>
  </si>
  <si>
    <t>(22 749)</t>
  </si>
  <si>
    <t>8 428</t>
  </si>
  <si>
    <t>6 175</t>
  </si>
  <si>
    <t>(1 378)</t>
  </si>
  <si>
    <t>7 460</t>
  </si>
  <si>
    <t>4 797</t>
  </si>
  <si>
    <t>(1 047)</t>
  </si>
  <si>
    <t>9 790</t>
  </si>
  <si>
    <t>6 204</t>
  </si>
  <si>
    <t>16 684</t>
  </si>
  <si>
    <t>9 669</t>
  </si>
  <si>
    <t>(2 203)</t>
  </si>
  <si>
    <t>14 481</t>
  </si>
  <si>
    <t>8 950</t>
  </si>
  <si>
    <t>1 892</t>
  </si>
  <si>
    <t>16 373</t>
  </si>
  <si>
    <t>9 226</t>
  </si>
  <si>
    <t>(1 255)</t>
  </si>
  <si>
    <t>15 460</t>
  </si>
  <si>
    <t>8 975</t>
  </si>
  <si>
    <t xml:space="preserve"> comprehensive income For the year ended 31 December </t>
  </si>
  <si>
    <t xml:space="preserve"> statement of financial position As At December 2025</t>
  </si>
  <si>
    <t>Deferred consideration settled </t>
  </si>
  <si>
    <t>Contributions to environmental rehabilitation funds </t>
  </si>
  <si>
    <t>Dividends received from financial assets </t>
  </si>
  <si>
    <t>Settlement of contingent consideration </t>
  </si>
  <si>
    <t>Cash transferred on transfer of operation </t>
  </si>
  <si>
    <t>Acquisition of subsidiaries </t>
  </si>
  <si>
    <t>Proceeds from disposal of associate classified as non-current assets held-for-sale </t>
  </si>
  <si>
    <t>NCI options exercised </t>
  </si>
  <si>
    <t>Distributions to NCI share option holders </t>
  </si>
  <si>
    <t>Increase in loan from NCI </t>
  </si>
  <si>
    <t>Decrease in loan from NCI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</si>
</sst>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#,##0;\(#,##0\)"/>
  </numFmts>
  <fonts count="23">
    <font>
      <sz val="11"/>
      <color theme="1"/>
      <name val="Aptos Narrow"/>
      <family val="2"/>
      <scheme val="minor"/>
    </font>
    <font>
      <sz val="12"/>
      <color indexed="63"/>
      <name val="Calibri"/>
      <family val="2"/>
    </font>
    <font>
      <b/>
      <sz val="12"/>
      <color rgb="FF5F837B"/>
      <name val="Calibri"/>
      <family val="2"/>
    </font>
    <font>
      <vertAlign val="superscript"/>
      <sz val="12"/>
      <color rgb="FF333333"/>
      <name val="Calibri"/>
      <family val="2"/>
    </font>
    <font>
      <sz val="18"/>
      <color rgb="FFA2C435"/>
      <name val="Roboto"/>
    </font>
    <font>
      <sz val="11"/>
      <color theme="1"/>
      <name val="Calibri"/>
      <family val="2"/>
    </font>
    <font>
      <sz val="11"/>
      <color rgb="FF404041"/>
      <name val="Calibri"/>
      <family val="2"/>
    </font>
    <font>
      <b/>
      <sz val="11"/>
      <color rgb="FF5E8279"/>
      <name val="Calibri"/>
      <family val="2"/>
    </font>
    <font>
      <b/>
      <sz val="11"/>
      <color theme="1"/>
      <name val="Calibri"/>
      <family val="2"/>
    </font>
    <font>
      <sz val="11"/>
      <color rgb="FF5E8279"/>
      <name val="Calibri"/>
      <family val="2"/>
    </font>
    <font>
      <sz val="18"/>
      <color rgb="FFA2C435"/>
      <name val="Calibri"/>
      <family val="2"/>
    </font>
    <font>
      <b/>
      <sz val="11"/>
      <color rgb="FFACC956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404041"/>
      <name val="Calibri"/>
      <family val="2"/>
    </font>
    <font>
      <b/>
      <sz val="11"/>
      <color rgb="FF46494A"/>
      <name val="Calibri"/>
      <family val="2"/>
    </font>
    <font>
      <sz val="18"/>
      <color rgb="FFACCB57"/>
      <name val="Calibri"/>
      <family val="2"/>
    </font>
    <font>
      <b/>
      <sz val="12"/>
      <color indexed="63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color indexed="63"/>
      <name val="Calibri"/>
      <family val="2"/>
    </font>
    <font>
      <sz val="11"/>
      <color indexed="63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AF3D8"/>
        <bgColor indexed="64"/>
      </patternFill>
    </fill>
    <fill>
      <patternFill patternType="solid">
        <fgColor rgb="FFE8F1F4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/>
      <right style="medium">
        <color rgb="FFACCB57"/>
      </right>
      <top/>
      <bottom style="medium">
        <color theme="1" tint="0.499984740745262"/>
      </bottom>
      <diagonal/>
    </border>
    <border>
      <left/>
      <right style="thin">
        <color rgb="FFACC956"/>
      </right>
      <top/>
      <bottom style="thick">
        <color rgb="FFACCB57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rgb="FFACC956"/>
      </right>
      <top style="medium">
        <color rgb="FFACC956"/>
      </top>
      <bottom/>
      <diagonal/>
    </border>
    <border>
      <left/>
      <right style="medium">
        <color rgb="FFACC956"/>
      </right>
      <top/>
      <bottom/>
      <diagonal/>
    </border>
    <border>
      <left/>
      <right style="medium">
        <color rgb="FFACC956"/>
      </right>
      <top/>
      <bottom style="thick">
        <color rgb="FFACC956"/>
      </bottom>
      <diagonal/>
    </border>
    <border>
      <left/>
      <right/>
      <top/>
      <bottom style="thick">
        <color rgb="FFACC956"/>
      </bottom>
      <diagonal/>
    </border>
    <border>
      <left/>
      <right/>
      <top/>
      <bottom style="medium">
        <color rgb="FF939598"/>
      </bottom>
      <diagonal/>
    </border>
    <border>
      <left/>
      <right style="medium">
        <color rgb="FF939598"/>
      </right>
      <top/>
      <bottom/>
      <diagonal/>
    </border>
    <border>
      <left/>
      <right/>
      <top style="medium">
        <color rgb="FF939598"/>
      </top>
      <bottom style="medium">
        <color rgb="FFACC956"/>
      </bottom>
      <diagonal/>
    </border>
    <border>
      <left/>
      <right/>
      <top/>
      <bottom style="thin">
        <color rgb="FF9D9D9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939598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939598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93959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rgb="FF92D050"/>
      </right>
      <top/>
      <bottom/>
      <diagonal/>
    </border>
    <border>
      <left style="medium">
        <color indexed="64"/>
      </left>
      <right style="medium">
        <color rgb="FF92D05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ACC956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ACC956"/>
      </top>
      <bottom/>
      <diagonal/>
    </border>
    <border>
      <left style="medium">
        <color indexed="64"/>
      </left>
      <right/>
      <top/>
      <bottom style="thick">
        <color rgb="FFACC956"/>
      </bottom>
      <diagonal/>
    </border>
    <border>
      <left style="thin">
        <color rgb="FFACC956"/>
      </left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56">
    <xf numFmtId="0" fontId="0" fillId="0" borderId="0" xfId="0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5" fillId="0" borderId="4" xfId="0" applyFont="1" applyBorder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0" fontId="5" fillId="0" borderId="6" xfId="0" applyFont="1" applyBorder="1"/>
    <xf numFmtId="0" fontId="7" fillId="0" borderId="7" xfId="0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165" fontId="5" fillId="0" borderId="0" xfId="0" applyNumberFormat="1" applyFont="1" applyAlignment="1">
      <alignment horizontal="right"/>
    </xf>
    <xf numFmtId="0" fontId="5" fillId="0" borderId="8" xfId="0" applyFont="1" applyBorder="1"/>
    <xf numFmtId="0" fontId="7" fillId="0" borderId="0" xfId="0" applyFont="1"/>
    <xf numFmtId="165" fontId="5" fillId="0" borderId="9" xfId="0" applyNumberFormat="1" applyFont="1" applyBorder="1" applyAlignment="1">
      <alignment horizontal="right"/>
    </xf>
    <xf numFmtId="0" fontId="7" fillId="0" borderId="10" xfId="0" applyFont="1" applyBorder="1"/>
    <xf numFmtId="0" fontId="10" fillId="0" borderId="0" xfId="0" applyFont="1" applyAlignment="1">
      <alignment horizontal="left" vertical="center"/>
    </xf>
    <xf numFmtId="0" fontId="11" fillId="0" borderId="0" xfId="0" applyFont="1"/>
    <xf numFmtId="0" fontId="7" fillId="0" borderId="5" xfId="0" applyFont="1" applyBorder="1"/>
    <xf numFmtId="0" fontId="0" fillId="0" borderId="11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11" xfId="0" applyFont="1" applyFill="1" applyBorder="1"/>
    <xf numFmtId="165" fontId="5" fillId="0" borderId="0" xfId="0" applyNumberFormat="1" applyFont="1" applyBorder="1" applyAlignment="1">
      <alignment horizontal="right"/>
    </xf>
    <xf numFmtId="2" fontId="5" fillId="0" borderId="0" xfId="0" applyNumberFormat="1" applyFont="1" applyAlignment="1">
      <alignment horizontal="right"/>
    </xf>
    <xf numFmtId="165" fontId="5" fillId="0" borderId="14" xfId="0" applyNumberFormat="1" applyFont="1" applyBorder="1" applyAlignment="1">
      <alignment horizontal="right"/>
    </xf>
    <xf numFmtId="2" fontId="5" fillId="0" borderId="15" xfId="0" applyNumberFormat="1" applyFont="1" applyBorder="1" applyAlignment="1">
      <alignment horizontal="right"/>
    </xf>
    <xf numFmtId="2" fontId="5" fillId="0" borderId="0" xfId="0" applyNumberFormat="1" applyFont="1" applyBorder="1" applyAlignment="1">
      <alignment horizontal="right"/>
    </xf>
    <xf numFmtId="165" fontId="6" fillId="2" borderId="19" xfId="0" applyNumberFormat="1" applyFont="1" applyFill="1" applyBorder="1" applyAlignment="1">
      <alignment horizontal="right"/>
    </xf>
    <xf numFmtId="165" fontId="5" fillId="0" borderId="20" xfId="0" applyNumberFormat="1" applyFont="1" applyBorder="1" applyAlignment="1">
      <alignment horizontal="right"/>
    </xf>
    <xf numFmtId="2" fontId="5" fillId="0" borderId="21" xfId="0" applyNumberFormat="1" applyFont="1" applyBorder="1" applyAlignment="1">
      <alignment horizontal="right"/>
    </xf>
    <xf numFmtId="165" fontId="5" fillId="0" borderId="24" xfId="0" applyNumberFormat="1" applyFont="1" applyBorder="1" applyAlignment="1">
      <alignment horizontal="right"/>
    </xf>
    <xf numFmtId="2" fontId="5" fillId="0" borderId="25" xfId="0" applyNumberFormat="1" applyFont="1" applyBorder="1" applyAlignment="1">
      <alignment horizontal="right"/>
    </xf>
    <xf numFmtId="165" fontId="5" fillId="0" borderId="15" xfId="0" applyNumberFormat="1" applyFont="1" applyBorder="1" applyAlignment="1">
      <alignment horizontal="right"/>
    </xf>
    <xf numFmtId="165" fontId="5" fillId="0" borderId="21" xfId="0" applyNumberFormat="1" applyFont="1" applyBorder="1" applyAlignment="1">
      <alignment horizontal="right"/>
    </xf>
    <xf numFmtId="0" fontId="5" fillId="0" borderId="21" xfId="0" applyFont="1" applyBorder="1"/>
    <xf numFmtId="165" fontId="5" fillId="0" borderId="25" xfId="0" applyNumberFormat="1" applyFont="1" applyBorder="1" applyAlignment="1">
      <alignment horizontal="right"/>
    </xf>
    <xf numFmtId="0" fontId="8" fillId="0" borderId="0" xfId="0" applyFont="1" applyAlignment="1">
      <alignment vertical="center"/>
    </xf>
    <xf numFmtId="0" fontId="8" fillId="0" borderId="0" xfId="0" applyFont="1"/>
    <xf numFmtId="0" fontId="13" fillId="0" borderId="0" xfId="0" applyFont="1"/>
    <xf numFmtId="0" fontId="8" fillId="0" borderId="7" xfId="0" applyFont="1" applyBorder="1" applyAlignment="1">
      <alignment vertical="center"/>
    </xf>
    <xf numFmtId="43" fontId="5" fillId="4" borderId="15" xfId="1" applyFont="1" applyFill="1" applyBorder="1" applyAlignment="1">
      <alignment vertical="center"/>
    </xf>
    <xf numFmtId="0" fontId="5" fillId="4" borderId="21" xfId="0" applyFont="1" applyFill="1" applyBorder="1"/>
    <xf numFmtId="43" fontId="5" fillId="4" borderId="0" xfId="1" applyFont="1" applyFill="1" applyBorder="1" applyAlignment="1">
      <alignment vertical="center"/>
    </xf>
    <xf numFmtId="43" fontId="5" fillId="4" borderId="21" xfId="1" applyFont="1" applyFill="1" applyBorder="1" applyAlignment="1">
      <alignment vertical="center"/>
    </xf>
    <xf numFmtId="43" fontId="5" fillId="4" borderId="0" xfId="1" applyFont="1" applyFill="1" applyAlignment="1">
      <alignment vertical="center"/>
    </xf>
    <xf numFmtId="43" fontId="5" fillId="4" borderId="24" xfId="1" applyFont="1" applyFill="1" applyBorder="1" applyAlignment="1">
      <alignment vertical="center"/>
    </xf>
    <xf numFmtId="43" fontId="5" fillId="4" borderId="14" xfId="1" applyFont="1" applyFill="1" applyBorder="1" applyAlignment="1">
      <alignment vertical="center"/>
    </xf>
    <xf numFmtId="43" fontId="5" fillId="4" borderId="9" xfId="1" applyFont="1" applyFill="1" applyBorder="1" applyAlignment="1">
      <alignment vertical="center"/>
    </xf>
    <xf numFmtId="43" fontId="5" fillId="4" borderId="20" xfId="1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165" fontId="6" fillId="4" borderId="13" xfId="0" applyNumberFormat="1" applyFont="1" applyFill="1" applyBorder="1" applyAlignment="1">
      <alignment horizontal="right"/>
    </xf>
    <xf numFmtId="165" fontId="6" fillId="4" borderId="19" xfId="0" applyNumberFormat="1" applyFont="1" applyFill="1" applyBorder="1" applyAlignment="1">
      <alignment horizontal="right"/>
    </xf>
    <xf numFmtId="165" fontId="6" fillId="4" borderId="17" xfId="0" applyNumberFormat="1" applyFont="1" applyFill="1" applyBorder="1" applyAlignment="1">
      <alignment horizontal="right"/>
    </xf>
    <xf numFmtId="165" fontId="6" fillId="4" borderId="0" xfId="0" applyNumberFormat="1" applyFont="1" applyFill="1" applyAlignment="1">
      <alignment horizontal="right"/>
    </xf>
    <xf numFmtId="165" fontId="6" fillId="4" borderId="0" xfId="0" applyNumberFormat="1" applyFont="1" applyFill="1" applyBorder="1" applyAlignment="1">
      <alignment horizontal="right"/>
    </xf>
    <xf numFmtId="165" fontId="6" fillId="4" borderId="23" xfId="0" applyNumberFormat="1" applyFont="1" applyFill="1" applyBorder="1" applyAlignment="1">
      <alignment horizontal="right"/>
    </xf>
    <xf numFmtId="165" fontId="6" fillId="4" borderId="27" xfId="0" applyNumberFormat="1" applyFont="1" applyFill="1" applyBorder="1" applyAlignment="1">
      <alignment horizontal="right"/>
    </xf>
    <xf numFmtId="165" fontId="5" fillId="0" borderId="27" xfId="0" applyNumberFormat="1" applyFont="1" applyBorder="1" applyAlignment="1">
      <alignment horizontal="right"/>
    </xf>
    <xf numFmtId="0" fontId="5" fillId="4" borderId="27" xfId="0" applyFont="1" applyFill="1" applyBorder="1" applyAlignment="1">
      <alignment vertical="center"/>
    </xf>
    <xf numFmtId="2" fontId="5" fillId="0" borderId="27" xfId="0" applyNumberFormat="1" applyFont="1" applyBorder="1" applyAlignment="1">
      <alignment horizontal="right"/>
    </xf>
    <xf numFmtId="43" fontId="5" fillId="0" borderId="0" xfId="1" applyFont="1" applyAlignment="1">
      <alignment horizontal="right"/>
    </xf>
    <xf numFmtId="43" fontId="5" fillId="0" borderId="15" xfId="1" applyFont="1" applyBorder="1" applyAlignment="1">
      <alignment horizontal="right"/>
    </xf>
    <xf numFmtId="43" fontId="5" fillId="0" borderId="0" xfId="1" applyFont="1" applyBorder="1" applyAlignment="1">
      <alignment horizontal="right"/>
    </xf>
    <xf numFmtId="43" fontId="5" fillId="0" borderId="21" xfId="1" applyFont="1" applyBorder="1" applyAlignment="1">
      <alignment horizontal="right"/>
    </xf>
    <xf numFmtId="0" fontId="8" fillId="0" borderId="0" xfId="0" applyFont="1" applyBorder="1"/>
    <xf numFmtId="0" fontId="7" fillId="0" borderId="23" xfId="0" applyFont="1" applyBorder="1"/>
    <xf numFmtId="0" fontId="5" fillId="0" borderId="0" xfId="0" applyFont="1" applyBorder="1"/>
    <xf numFmtId="0" fontId="7" fillId="0" borderId="13" xfId="0" applyFont="1" applyBorder="1"/>
    <xf numFmtId="0" fontId="5" fillId="0" borderId="19" xfId="0" applyFont="1" applyBorder="1"/>
    <xf numFmtId="0" fontId="5" fillId="0" borderId="28" xfId="0" applyFont="1" applyBorder="1"/>
    <xf numFmtId="0" fontId="7" fillId="3" borderId="29" xfId="0" applyFont="1" applyFill="1" applyBorder="1"/>
    <xf numFmtId="0" fontId="7" fillId="0" borderId="30" xfId="0" applyFont="1" applyBorder="1"/>
    <xf numFmtId="165" fontId="6" fillId="4" borderId="15" xfId="0" applyNumberFormat="1" applyFont="1" applyFill="1" applyBorder="1" applyAlignment="1">
      <alignment horizontal="right"/>
    </xf>
    <xf numFmtId="165" fontId="6" fillId="4" borderId="21" xfId="0" applyNumberFormat="1" applyFont="1" applyFill="1" applyBorder="1" applyAlignment="1">
      <alignment horizontal="right"/>
    </xf>
    <xf numFmtId="43" fontId="5" fillId="4" borderId="0" xfId="1" applyFont="1" applyFill="1" applyAlignment="1">
      <alignment horizontal="right"/>
    </xf>
    <xf numFmtId="43" fontId="5" fillId="4" borderId="15" xfId="1" applyFont="1" applyFill="1" applyBorder="1" applyAlignment="1">
      <alignment horizontal="right"/>
    </xf>
    <xf numFmtId="43" fontId="5" fillId="4" borderId="0" xfId="1" applyFont="1" applyFill="1" applyBorder="1" applyAlignment="1">
      <alignment horizontal="right"/>
    </xf>
    <xf numFmtId="43" fontId="5" fillId="4" borderId="21" xfId="1" applyFont="1" applyFill="1" applyBorder="1" applyAlignment="1">
      <alignment horizontal="right"/>
    </xf>
    <xf numFmtId="165" fontId="14" fillId="4" borderId="0" xfId="0" applyNumberFormat="1" applyFont="1" applyFill="1" applyAlignment="1">
      <alignment horizontal="right"/>
    </xf>
    <xf numFmtId="165" fontId="8" fillId="0" borderId="0" xfId="0" applyNumberFormat="1" applyFont="1" applyAlignment="1">
      <alignment horizontal="right"/>
    </xf>
    <xf numFmtId="43" fontId="8" fillId="4" borderId="0" xfId="1" applyFont="1" applyFill="1" applyAlignment="1">
      <alignment horizontal="right"/>
    </xf>
    <xf numFmtId="43" fontId="8" fillId="0" borderId="0" xfId="1" applyFont="1" applyAlignment="1">
      <alignment horizontal="right"/>
    </xf>
    <xf numFmtId="165" fontId="14" fillId="4" borderId="25" xfId="0" applyNumberFormat="1" applyFont="1" applyFill="1" applyBorder="1" applyAlignment="1">
      <alignment horizontal="right"/>
    </xf>
    <xf numFmtId="165" fontId="8" fillId="0" borderId="25" xfId="0" applyNumberFormat="1" applyFont="1" applyBorder="1" applyAlignment="1">
      <alignment horizontal="right"/>
    </xf>
    <xf numFmtId="43" fontId="8" fillId="4" borderId="25" xfId="1" applyFont="1" applyFill="1" applyBorder="1" applyAlignment="1">
      <alignment horizontal="right"/>
    </xf>
    <xf numFmtId="43" fontId="8" fillId="0" borderId="25" xfId="1" applyFont="1" applyBorder="1" applyAlignment="1">
      <alignment horizontal="right"/>
    </xf>
    <xf numFmtId="165" fontId="15" fillId="3" borderId="25" xfId="0" applyNumberFormat="1" applyFont="1" applyFill="1" applyBorder="1" applyAlignment="1">
      <alignment horizontal="right"/>
    </xf>
    <xf numFmtId="0" fontId="5" fillId="0" borderId="34" xfId="0" applyFont="1" applyBorder="1"/>
    <xf numFmtId="0" fontId="5" fillId="0" borderId="7" xfId="0" applyFont="1" applyBorder="1"/>
    <xf numFmtId="0" fontId="7" fillId="0" borderId="13" xfId="0" applyFont="1" applyBorder="1" applyAlignment="1">
      <alignment horizontal="right"/>
    </xf>
    <xf numFmtId="0" fontId="8" fillId="0" borderId="15" xfId="0" applyFont="1" applyBorder="1" applyAlignment="1">
      <alignment horizontal="right"/>
    </xf>
    <xf numFmtId="0" fontId="8" fillId="0" borderId="15" xfId="0" applyFont="1" applyBorder="1"/>
    <xf numFmtId="0" fontId="8" fillId="0" borderId="16" xfId="0" applyFont="1" applyBorder="1"/>
    <xf numFmtId="0" fontId="7" fillId="0" borderId="35" xfId="0" applyFont="1" applyBorder="1" applyAlignment="1">
      <alignment horizontal="right"/>
    </xf>
    <xf numFmtId="0" fontId="8" fillId="0" borderId="18" xfId="0" applyFont="1" applyBorder="1"/>
    <xf numFmtId="0" fontId="5" fillId="0" borderId="22" xfId="0" applyFont="1" applyBorder="1"/>
    <xf numFmtId="43" fontId="8" fillId="4" borderId="32" xfId="1" applyFont="1" applyFill="1" applyBorder="1" applyAlignment="1">
      <alignment horizontal="right"/>
    </xf>
    <xf numFmtId="43" fontId="5" fillId="4" borderId="31" xfId="1" applyFont="1" applyFill="1" applyBorder="1" applyAlignment="1">
      <alignment horizontal="right"/>
    </xf>
    <xf numFmtId="43" fontId="5" fillId="4" borderId="32" xfId="1" applyFont="1" applyFill="1" applyBorder="1" applyAlignment="1">
      <alignment horizontal="right"/>
    </xf>
    <xf numFmtId="43" fontId="5" fillId="4" borderId="33" xfId="1" applyFont="1" applyFill="1" applyBorder="1" applyAlignment="1">
      <alignment horizontal="right"/>
    </xf>
    <xf numFmtId="43" fontId="8" fillId="4" borderId="12" xfId="1" applyFont="1" applyFill="1" applyBorder="1" applyAlignment="1">
      <alignment horizontal="right"/>
    </xf>
    <xf numFmtId="0" fontId="16" fillId="0" borderId="0" xfId="0" applyFont="1"/>
    <xf numFmtId="0" fontId="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" fillId="0" borderId="0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2" fontId="8" fillId="0" borderId="0" xfId="0" applyNumberFormat="1" applyFont="1" applyAlignment="1">
      <alignment horizontal="right"/>
    </xf>
    <xf numFmtId="2" fontId="8" fillId="0" borderId="27" xfId="0" applyNumberFormat="1" applyFont="1" applyBorder="1" applyAlignment="1">
      <alignment horizontal="right"/>
    </xf>
    <xf numFmtId="2" fontId="8" fillId="0" borderId="25" xfId="0" applyNumberFormat="1" applyFont="1" applyBorder="1" applyAlignment="1">
      <alignment horizontal="right"/>
    </xf>
    <xf numFmtId="43" fontId="19" fillId="4" borderId="25" xfId="1" applyFont="1" applyFill="1" applyBorder="1" applyAlignment="1">
      <alignment horizontal="right" vertical="center" wrapText="1"/>
    </xf>
    <xf numFmtId="43" fontId="18" fillId="4" borderId="0" xfId="1" applyFont="1" applyFill="1" applyBorder="1" applyAlignment="1">
      <alignment horizontal="right" wrapText="1"/>
    </xf>
    <xf numFmtId="43" fontId="18" fillId="4" borderId="21" xfId="1" applyFont="1" applyFill="1" applyBorder="1" applyAlignment="1">
      <alignment horizontal="right" wrapText="1"/>
    </xf>
    <xf numFmtId="43" fontId="19" fillId="4" borderId="0" xfId="1" applyFont="1" applyFill="1" applyAlignment="1">
      <alignment horizontal="right" wrapText="1"/>
    </xf>
    <xf numFmtId="43" fontId="18" fillId="4" borderId="15" xfId="1" applyFont="1" applyFill="1" applyBorder="1" applyAlignment="1">
      <alignment horizontal="right" wrapText="1"/>
    </xf>
    <xf numFmtId="43" fontId="18" fillId="4" borderId="21" xfId="1" applyFont="1" applyFill="1" applyBorder="1" applyAlignment="1">
      <alignment horizontal="right" vertical="center" wrapText="1"/>
    </xf>
    <xf numFmtId="43" fontId="18" fillId="4" borderId="0" xfId="1" applyFont="1" applyFill="1" applyAlignment="1">
      <alignment horizontal="right" vertical="center" wrapText="1"/>
    </xf>
    <xf numFmtId="43" fontId="18" fillId="4" borderId="15" xfId="1" applyFont="1" applyFill="1" applyBorder="1" applyAlignment="1">
      <alignment horizontal="right" vertical="center" wrapText="1"/>
    </xf>
    <xf numFmtId="43" fontId="18" fillId="4" borderId="0" xfId="1" applyFont="1" applyFill="1" applyBorder="1" applyAlignment="1">
      <alignment horizontal="right" vertical="center" wrapText="1"/>
    </xf>
    <xf numFmtId="43" fontId="19" fillId="4" borderId="27" xfId="1" applyFont="1" applyFill="1" applyBorder="1" applyAlignment="1">
      <alignment horizontal="right" vertical="center" wrapText="1"/>
    </xf>
    <xf numFmtId="2" fontId="8" fillId="4" borderId="26" xfId="0" applyNumberFormat="1" applyFont="1" applyFill="1" applyBorder="1" applyAlignment="1">
      <alignment horizontal="right"/>
    </xf>
    <xf numFmtId="2" fontId="5" fillId="4" borderId="18" xfId="0" applyNumberFormat="1" applyFont="1" applyFill="1" applyBorder="1" applyAlignment="1">
      <alignment horizontal="right"/>
    </xf>
    <xf numFmtId="2" fontId="5" fillId="4" borderId="22" xfId="0" applyNumberFormat="1" applyFont="1" applyFill="1" applyBorder="1" applyAlignment="1">
      <alignment horizontal="right"/>
    </xf>
    <xf numFmtId="2" fontId="8" fillId="4" borderId="0" xfId="0" applyNumberFormat="1" applyFont="1" applyFill="1" applyAlignment="1">
      <alignment horizontal="right"/>
    </xf>
    <xf numFmtId="2" fontId="5" fillId="4" borderId="16" xfId="0" applyNumberFormat="1" applyFont="1" applyFill="1" applyBorder="1" applyAlignment="1">
      <alignment horizontal="right"/>
    </xf>
    <xf numFmtId="2" fontId="5" fillId="4" borderId="0" xfId="0" applyNumberFormat="1" applyFont="1" applyFill="1" applyAlignment="1">
      <alignment horizontal="right"/>
    </xf>
    <xf numFmtId="2" fontId="8" fillId="4" borderId="27" xfId="0" applyNumberFormat="1" applyFont="1" applyFill="1" applyBorder="1" applyAlignment="1">
      <alignment horizontal="right"/>
    </xf>
    <xf numFmtId="2" fontId="20" fillId="4" borderId="23" xfId="0" applyNumberFormat="1" applyFont="1" applyFill="1" applyBorder="1" applyAlignment="1">
      <alignment horizontal="right" vertical="top" wrapText="1"/>
    </xf>
    <xf numFmtId="2" fontId="21" fillId="4" borderId="17" xfId="0" applyNumberFormat="1" applyFont="1" applyFill="1" applyBorder="1" applyAlignment="1">
      <alignment horizontal="right" vertical="top" wrapText="1"/>
    </xf>
    <xf numFmtId="2" fontId="21" fillId="4" borderId="19" xfId="0" applyNumberFormat="1" applyFont="1" applyFill="1" applyBorder="1" applyAlignment="1">
      <alignment horizontal="right" vertical="top" wrapText="1"/>
    </xf>
    <xf numFmtId="2" fontId="20" fillId="4" borderId="0" xfId="0" applyNumberFormat="1" applyFont="1" applyFill="1" applyAlignment="1">
      <alignment horizontal="right" vertical="top" wrapText="1"/>
    </xf>
    <xf numFmtId="2" fontId="21" fillId="4" borderId="13" xfId="0" applyNumberFormat="1" applyFont="1" applyFill="1" applyBorder="1" applyAlignment="1">
      <alignment horizontal="right" vertical="top" wrapText="1"/>
    </xf>
    <xf numFmtId="2" fontId="21" fillId="4" borderId="17" xfId="0" applyNumberFormat="1" applyFont="1" applyFill="1" applyBorder="1" applyAlignment="1">
      <alignment horizontal="right" vertical="top" shrinkToFit="1"/>
    </xf>
    <xf numFmtId="2" fontId="21" fillId="4" borderId="0" xfId="0" applyNumberFormat="1" applyFont="1" applyFill="1" applyAlignment="1">
      <alignment horizontal="right" vertical="top" wrapText="1"/>
    </xf>
    <xf numFmtId="2" fontId="20" fillId="4" borderId="36" xfId="0" applyNumberFormat="1" applyFont="1" applyFill="1" applyBorder="1" applyAlignment="1">
      <alignment horizontal="right" vertical="top" wrapText="1"/>
    </xf>
    <xf numFmtId="2" fontId="20" fillId="0" borderId="25" xfId="0" applyNumberFormat="1" applyFont="1" applyBorder="1" applyAlignment="1">
      <alignment horizontal="right" vertical="top" wrapText="1"/>
    </xf>
    <xf numFmtId="2" fontId="21" fillId="0" borderId="0" xfId="0" applyNumberFormat="1" applyFont="1" applyBorder="1" applyAlignment="1">
      <alignment horizontal="right" vertical="top" wrapText="1"/>
    </xf>
    <xf numFmtId="2" fontId="21" fillId="0" borderId="21" xfId="0" applyNumberFormat="1" applyFont="1" applyBorder="1" applyAlignment="1">
      <alignment horizontal="right" vertical="top" wrapText="1"/>
    </xf>
    <xf numFmtId="2" fontId="20" fillId="0" borderId="0" xfId="0" applyNumberFormat="1" applyFont="1" applyBorder="1" applyAlignment="1">
      <alignment horizontal="right" vertical="top" wrapText="1"/>
    </xf>
    <xf numFmtId="2" fontId="21" fillId="0" borderId="15" xfId="0" applyNumberFormat="1" applyFont="1" applyBorder="1" applyAlignment="1">
      <alignment horizontal="right" vertical="top" wrapText="1"/>
    </xf>
    <xf numFmtId="2" fontId="21" fillId="0" borderId="0" xfId="0" applyNumberFormat="1" applyFont="1" applyBorder="1" applyAlignment="1">
      <alignment horizontal="right" vertical="top" shrinkToFit="1"/>
    </xf>
    <xf numFmtId="2" fontId="22" fillId="0" borderId="0" xfId="0" applyNumberFormat="1" applyFont="1" applyBorder="1" applyAlignment="1">
      <alignment horizontal="right" wrapText="1"/>
    </xf>
    <xf numFmtId="2" fontId="21" fillId="0" borderId="15" xfId="0" applyNumberFormat="1" applyFont="1" applyBorder="1" applyAlignment="1">
      <alignment horizontal="right" vertical="top" shrinkToFit="1"/>
    </xf>
    <xf numFmtId="2" fontId="22" fillId="0" borderId="21" xfId="0" applyNumberFormat="1" applyFont="1" applyBorder="1" applyAlignment="1">
      <alignment horizontal="right" vertical="center" wrapText="1"/>
    </xf>
    <xf numFmtId="2" fontId="22" fillId="0" borderId="0" xfId="0" applyNumberFormat="1" applyFont="1" applyBorder="1" applyAlignment="1">
      <alignment horizontal="right" vertical="center" wrapText="1"/>
    </xf>
    <xf numFmtId="2" fontId="20" fillId="0" borderId="27" xfId="0" applyNumberFormat="1" applyFont="1" applyBorder="1" applyAlignment="1">
      <alignment horizontal="right" vertical="top" wrapText="1"/>
    </xf>
    <xf numFmtId="2" fontId="0" fillId="4" borderId="16" xfId="0" applyNumberFormat="1" applyFont="1" applyFill="1" applyBorder="1" applyAlignment="1">
      <alignment horizontal="right"/>
    </xf>
    <xf numFmtId="2" fontId="0" fillId="4" borderId="22" xfId="0" applyNumberFormat="1" applyFont="1" applyFill="1" applyBorder="1" applyAlignment="1">
      <alignment horizontal="right"/>
    </xf>
    <xf numFmtId="2" fontId="0" fillId="4" borderId="18" xfId="0" applyNumberFormat="1" applyFont="1" applyFill="1" applyBorder="1" applyAlignment="1">
      <alignment horizontal="right"/>
    </xf>
    <xf numFmtId="2" fontId="0" fillId="4" borderId="0" xfId="0" applyNumberFormat="1" applyFont="1" applyFill="1" applyAlignment="1">
      <alignment horizontal="right"/>
    </xf>
    <xf numFmtId="0" fontId="0" fillId="4" borderId="0" xfId="0" applyFont="1" applyFill="1"/>
    <xf numFmtId="2" fontId="0" fillId="0" borderId="0" xfId="0" applyNumberFormat="1" applyFont="1" applyAlignment="1">
      <alignment horizontal="right"/>
    </xf>
    <xf numFmtId="2" fontId="0" fillId="4" borderId="26" xfId="0" applyNumberFormat="1" applyFont="1" applyFill="1" applyBorder="1" applyAlignment="1">
      <alignment horizontal="right"/>
    </xf>
    <xf numFmtId="2" fontId="0" fillId="4" borderId="27" xfId="0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ACCB57"/>
      <color rgb="FF5F83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XARO%20MINING_%20FINANCIALS%2023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XXARO%20MINING_FIANCIALS(2021-2025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OME STATEMENT_2324"/>
      <sheetName val="FINANCIAL POSITION_2324"/>
      <sheetName val="CASH FLOW_2324"/>
    </sheetNames>
    <sheetDataSet>
      <sheetData sheetId="0"/>
      <sheetData sheetId="1">
        <row r="6">
          <cell r="C6">
            <v>66153</v>
          </cell>
        </row>
        <row r="7">
          <cell r="C7">
            <v>37226</v>
          </cell>
        </row>
        <row r="8">
          <cell r="C8">
            <v>2790</v>
          </cell>
        </row>
        <row r="9">
          <cell r="C9">
            <v>308</v>
          </cell>
        </row>
        <row r="10">
          <cell r="C10">
            <v>20278</v>
          </cell>
        </row>
        <row r="11">
          <cell r="C11">
            <v>4616</v>
          </cell>
        </row>
        <row r="12">
          <cell r="C12">
            <v>206</v>
          </cell>
        </row>
        <row r="13">
          <cell r="C13">
            <v>729</v>
          </cell>
        </row>
        <row r="14">
          <cell r="C14">
            <v>26701</v>
          </cell>
        </row>
        <row r="15">
          <cell r="C15">
            <v>2270</v>
          </cell>
        </row>
        <row r="16">
          <cell r="C16">
            <v>210</v>
          </cell>
        </row>
        <row r="17">
          <cell r="C17">
            <v>3877</v>
          </cell>
        </row>
        <row r="18">
          <cell r="C18">
            <v>19859</v>
          </cell>
        </row>
        <row r="19">
          <cell r="C19">
            <v>3</v>
          </cell>
        </row>
        <row r="20">
          <cell r="C20">
            <v>482</v>
          </cell>
        </row>
        <row r="22">
          <cell r="C22">
            <v>92854</v>
          </cell>
        </row>
        <row r="25">
          <cell r="C25">
            <v>983</v>
          </cell>
        </row>
        <row r="26">
          <cell r="C26">
            <v>1341</v>
          </cell>
        </row>
        <row r="27">
          <cell r="C27">
            <v>49923</v>
          </cell>
        </row>
        <row r="28">
          <cell r="C28">
            <v>52247</v>
          </cell>
        </row>
        <row r="29">
          <cell r="C29">
            <v>14160</v>
          </cell>
        </row>
        <row r="30">
          <cell r="C30">
            <v>66407</v>
          </cell>
        </row>
        <row r="31">
          <cell r="C31">
            <v>20226</v>
          </cell>
        </row>
        <row r="32">
          <cell r="C32">
            <v>7480</v>
          </cell>
        </row>
        <row r="33">
          <cell r="C33">
            <v>400</v>
          </cell>
        </row>
        <row r="34">
          <cell r="C34">
            <v>42</v>
          </cell>
        </row>
        <row r="35">
          <cell r="C35">
            <v>2963</v>
          </cell>
        </row>
        <row r="36">
          <cell r="C36">
            <v>176</v>
          </cell>
        </row>
        <row r="37">
          <cell r="C37">
            <v>127</v>
          </cell>
        </row>
        <row r="38">
          <cell r="C38">
            <v>9003</v>
          </cell>
        </row>
        <row r="39">
          <cell r="C39">
            <v>35</v>
          </cell>
        </row>
        <row r="40">
          <cell r="C40">
            <v>6221</v>
          </cell>
        </row>
        <row r="41">
          <cell r="C41">
            <v>1443</v>
          </cell>
        </row>
        <row r="42">
          <cell r="C42">
            <v>51</v>
          </cell>
        </row>
        <row r="43">
          <cell r="C43">
            <v>3356</v>
          </cell>
        </row>
        <row r="44">
          <cell r="C44">
            <v>222</v>
          </cell>
        </row>
        <row r="45">
          <cell r="C45">
            <v>14</v>
          </cell>
        </row>
        <row r="46">
          <cell r="C46">
            <v>348</v>
          </cell>
        </row>
        <row r="47">
          <cell r="C47">
            <v>787</v>
          </cell>
        </row>
        <row r="49">
          <cell r="C49">
            <v>26447</v>
          </cell>
        </row>
        <row r="50">
          <cell r="C50">
            <v>92854</v>
          </cell>
        </row>
      </sheetData>
      <sheetData sheetId="2">
        <row r="6">
          <cell r="C6">
            <v>11129</v>
          </cell>
        </row>
        <row r="7">
          <cell r="C7">
            <v>13307</v>
          </cell>
        </row>
        <row r="8">
          <cell r="C8">
            <v>1525</v>
          </cell>
        </row>
        <row r="9">
          <cell r="C9">
            <v>-1100</v>
          </cell>
        </row>
        <row r="10">
          <cell r="C10">
            <v>-2603</v>
          </cell>
        </row>
        <row r="11">
          <cell r="C11">
            <v>2045</v>
          </cell>
        </row>
        <row r="12">
          <cell r="C12">
            <v>-2699</v>
          </cell>
        </row>
        <row r="14">
          <cell r="C14">
            <v>5</v>
          </cell>
        </row>
        <row r="15">
          <cell r="C15">
            <v>196</v>
          </cell>
        </row>
        <row r="16">
          <cell r="C16">
            <v>-171</v>
          </cell>
        </row>
        <row r="17">
          <cell r="C17">
            <v>108</v>
          </cell>
        </row>
        <row r="19">
          <cell r="C19">
            <v>56</v>
          </cell>
        </row>
        <row r="20">
          <cell r="C20">
            <v>-360</v>
          </cell>
        </row>
        <row r="21">
          <cell r="C21">
            <v>16</v>
          </cell>
        </row>
        <row r="22">
          <cell r="C22">
            <v>-19</v>
          </cell>
        </row>
        <row r="23">
          <cell r="C23">
            <v>4911</v>
          </cell>
        </row>
        <row r="25">
          <cell r="C25">
            <v>-8228</v>
          </cell>
        </row>
        <row r="26">
          <cell r="C26">
            <v>489</v>
          </cell>
        </row>
        <row r="27">
          <cell r="C27">
            <v>-658</v>
          </cell>
        </row>
        <row r="28">
          <cell r="C28">
            <v>-13</v>
          </cell>
        </row>
        <row r="29">
          <cell r="C29">
            <v>-41</v>
          </cell>
        </row>
        <row r="30">
          <cell r="C30">
            <v>-5505</v>
          </cell>
        </row>
        <row r="31">
          <cell r="C31">
            <v>-1831</v>
          </cell>
        </row>
        <row r="32">
          <cell r="C32">
            <v>-24</v>
          </cell>
        </row>
        <row r="33">
          <cell r="C33">
            <v>-645</v>
          </cell>
        </row>
        <row r="35">
          <cell r="C35">
            <v>4946</v>
          </cell>
        </row>
        <row r="36">
          <cell r="C36">
            <v>14812</v>
          </cell>
        </row>
        <row r="37">
          <cell r="C37">
            <v>101</v>
          </cell>
        </row>
        <row r="38">
          <cell r="C38">
            <v>19859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OME STATEMENT_2021"/>
      <sheetName val="CASH FLOW_2021"/>
      <sheetName val="FINANCIAL POSITION_2021"/>
    </sheetNames>
    <sheetDataSet>
      <sheetData sheetId="0"/>
      <sheetData sheetId="1">
        <row r="4">
          <cell r="B4" t="str">
            <v>8 432</v>
          </cell>
          <cell r="C4" t="str">
            <v>5 493</v>
          </cell>
        </row>
        <row r="5">
          <cell r="B5" t="str">
            <v>10 552</v>
          </cell>
          <cell r="C5" t="str">
            <v>7 770</v>
          </cell>
        </row>
        <row r="6">
          <cell r="C6">
            <v>-198</v>
          </cell>
        </row>
        <row r="7">
          <cell r="B7" t="str">
            <v>(1 017)</v>
          </cell>
          <cell r="C7" t="str">
            <v>(1 305)</v>
          </cell>
        </row>
        <row r="8">
          <cell r="B8">
            <v>217</v>
          </cell>
          <cell r="C8">
            <v>192</v>
          </cell>
        </row>
        <row r="9">
          <cell r="B9" t="str">
            <v>(1 320)</v>
          </cell>
          <cell r="C9">
            <v>-966</v>
          </cell>
        </row>
        <row r="10">
          <cell r="B10" t="str">
            <v>13 419</v>
          </cell>
          <cell r="C10" t="str">
            <v>(1 556)</v>
          </cell>
        </row>
        <row r="11">
          <cell r="B11" t="str">
            <v>(2 471)</v>
          </cell>
          <cell r="C11" t="str">
            <v>(3 175)</v>
          </cell>
        </row>
        <row r="12">
          <cell r="C12">
            <v>-2</v>
          </cell>
        </row>
        <row r="13">
          <cell r="B13">
            <v>11</v>
          </cell>
          <cell r="C13">
            <v>34</v>
          </cell>
        </row>
        <row r="14">
          <cell r="B14">
            <v>72</v>
          </cell>
          <cell r="C14">
            <v>79</v>
          </cell>
        </row>
        <row r="15">
          <cell r="B15">
            <v>-101</v>
          </cell>
          <cell r="C15">
            <v>-41</v>
          </cell>
        </row>
        <row r="16">
          <cell r="B16">
            <v>61</v>
          </cell>
          <cell r="C16">
            <v>61</v>
          </cell>
        </row>
        <row r="17">
          <cell r="C17">
            <v>-349</v>
          </cell>
        </row>
        <row r="18">
          <cell r="B18">
            <v>3</v>
          </cell>
          <cell r="C18">
            <v>13</v>
          </cell>
        </row>
        <row r="19">
          <cell r="B19">
            <v>15</v>
          </cell>
          <cell r="C19">
            <v>15</v>
          </cell>
        </row>
        <row r="20">
          <cell r="C20">
            <v>-14</v>
          </cell>
        </row>
        <row r="21">
          <cell r="B21">
            <v>99</v>
          </cell>
        </row>
        <row r="22">
          <cell r="C22" t="str">
            <v>(1 402)</v>
          </cell>
        </row>
        <row r="23">
          <cell r="B23" t="str">
            <v>9 991</v>
          </cell>
          <cell r="C23" t="str">
            <v>3 263</v>
          </cell>
        </row>
        <row r="24">
          <cell r="B24" t="str">
            <v>5 763</v>
          </cell>
        </row>
        <row r="25">
          <cell r="B25">
            <v>-79</v>
          </cell>
          <cell r="C25">
            <v>-111</v>
          </cell>
        </row>
        <row r="26">
          <cell r="B26">
            <v>55</v>
          </cell>
          <cell r="C26">
            <v>73</v>
          </cell>
        </row>
        <row r="27">
          <cell r="B27" t="str">
            <v>(18 032)</v>
          </cell>
          <cell r="C27" t="str">
            <v>(2 469)</v>
          </cell>
        </row>
        <row r="28">
          <cell r="B28" t="str">
            <v>4 725</v>
          </cell>
          <cell r="C28" t="str">
            <v>1 750</v>
          </cell>
        </row>
        <row r="29">
          <cell r="B29" t="str">
            <v>(8 076)</v>
          </cell>
          <cell r="C29">
            <v>-88</v>
          </cell>
        </row>
        <row r="30">
          <cell r="B30">
            <v>-36</v>
          </cell>
          <cell r="C30">
            <v>-32</v>
          </cell>
        </row>
        <row r="31">
          <cell r="C31">
            <v>115</v>
          </cell>
        </row>
        <row r="32">
          <cell r="B32">
            <v>-7</v>
          </cell>
          <cell r="C32">
            <v>-1</v>
          </cell>
        </row>
        <row r="33">
          <cell r="B33">
            <v>-5</v>
          </cell>
        </row>
        <row r="34">
          <cell r="C34">
            <v>69</v>
          </cell>
        </row>
        <row r="35">
          <cell r="B35">
            <v>-69</v>
          </cell>
        </row>
        <row r="36">
          <cell r="B36" t="str">
            <v>(9 557)</v>
          </cell>
          <cell r="C36" t="str">
            <v>(3 034)</v>
          </cell>
        </row>
        <row r="37">
          <cell r="B37">
            <v>-382</v>
          </cell>
          <cell r="C37">
            <v>-270</v>
          </cell>
        </row>
        <row r="38">
          <cell r="B38" t="str">
            <v>(1 506)</v>
          </cell>
        </row>
        <row r="39">
          <cell r="B39" t="str">
            <v>(3 119)</v>
          </cell>
          <cell r="C39">
            <v>-978</v>
          </cell>
        </row>
        <row r="41">
          <cell r="B41" t="str">
            <v>3 819</v>
          </cell>
          <cell r="C41" t="str">
            <v>1 468</v>
          </cell>
        </row>
        <row r="42">
          <cell r="B42" t="str">
            <v>3 187</v>
          </cell>
          <cell r="C42" t="str">
            <v>1 719</v>
          </cell>
        </row>
        <row r="43">
          <cell r="B43">
            <v>35</v>
          </cell>
        </row>
        <row r="44">
          <cell r="B44" t="str">
            <v>7 041</v>
          </cell>
          <cell r="C44" t="str">
            <v>3 187</v>
          </cell>
        </row>
      </sheetData>
      <sheetData sheetId="2">
        <row r="5">
          <cell r="B5" t="str">
            <v>63 298</v>
          </cell>
          <cell r="C5" t="str">
            <v>65 824</v>
          </cell>
        </row>
        <row r="6">
          <cell r="B6" t="str">
            <v>38 351</v>
          </cell>
          <cell r="C6" t="str">
            <v>38 395</v>
          </cell>
        </row>
        <row r="7">
          <cell r="B7" t="str">
            <v>2 927</v>
          </cell>
          <cell r="C7" t="str">
            <v>3 095</v>
          </cell>
        </row>
        <row r="8">
          <cell r="B8">
            <v>401</v>
          </cell>
          <cell r="C8">
            <v>453</v>
          </cell>
        </row>
        <row r="10">
          <cell r="B10" t="str">
            <v>17 322</v>
          </cell>
          <cell r="C10" t="str">
            <v>20 006</v>
          </cell>
        </row>
        <row r="11">
          <cell r="B11" t="str">
            <v>3 237</v>
          </cell>
          <cell r="C11" t="str">
            <v>2 141</v>
          </cell>
        </row>
        <row r="12">
          <cell r="B12">
            <v>369</v>
          </cell>
          <cell r="C12" t="str">
            <v>1 076</v>
          </cell>
        </row>
        <row r="13">
          <cell r="B13">
            <v>546</v>
          </cell>
          <cell r="C13">
            <v>530</v>
          </cell>
        </row>
        <row r="14">
          <cell r="B14" t="str">
            <v>12 419</v>
          </cell>
          <cell r="C14" t="str">
            <v>9 033</v>
          </cell>
        </row>
        <row r="15">
          <cell r="B15" t="str">
            <v>1 606</v>
          </cell>
          <cell r="C15" t="str">
            <v>1 821</v>
          </cell>
        </row>
        <row r="16">
          <cell r="B16">
            <v>311</v>
          </cell>
          <cell r="C16">
            <v>169</v>
          </cell>
        </row>
        <row r="17">
          <cell r="B17" t="str">
            <v>2 701</v>
          </cell>
          <cell r="C17" t="str">
            <v>2 827</v>
          </cell>
        </row>
        <row r="18">
          <cell r="B18" t="str">
            <v>7 042</v>
          </cell>
          <cell r="C18" t="str">
            <v>3 196</v>
          </cell>
        </row>
        <row r="19">
          <cell r="B19">
            <v>759</v>
          </cell>
          <cell r="C19" t="str">
            <v>1 020</v>
          </cell>
        </row>
        <row r="20">
          <cell r="C20" t="str">
            <v>3 749</v>
          </cell>
        </row>
        <row r="21">
          <cell r="B21" t="str">
            <v>75 717</v>
          </cell>
          <cell r="C21" t="str">
            <v>78 606</v>
          </cell>
        </row>
        <row r="24">
          <cell r="B24">
            <v>983</v>
          </cell>
          <cell r="C24" t="str">
            <v>1 021</v>
          </cell>
        </row>
        <row r="25">
          <cell r="B25" t="str">
            <v>1 560</v>
          </cell>
          <cell r="C25" t="str">
            <v>2 495</v>
          </cell>
        </row>
        <row r="26">
          <cell r="B26" t="str">
            <v>37 007</v>
          </cell>
          <cell r="C26" t="str">
            <v>35 265</v>
          </cell>
        </row>
        <row r="27">
          <cell r="B27" t="str">
            <v>39 550</v>
          </cell>
          <cell r="C27" t="str">
            <v>38 781</v>
          </cell>
        </row>
        <row r="28">
          <cell r="B28" t="str">
            <v>10 548</v>
          </cell>
          <cell r="C28" t="str">
            <v>9 340</v>
          </cell>
        </row>
        <row r="29">
          <cell r="B29" t="str">
            <v>50 098</v>
          </cell>
          <cell r="C29" t="str">
            <v>48 121</v>
          </cell>
        </row>
        <row r="30">
          <cell r="B30" t="str">
            <v>20 841</v>
          </cell>
          <cell r="C30" t="str">
            <v>19 103</v>
          </cell>
        </row>
        <row r="31">
          <cell r="B31" t="str">
            <v>9 255</v>
          </cell>
          <cell r="C31" t="str">
            <v>7 448</v>
          </cell>
        </row>
        <row r="32">
          <cell r="B32">
            <v>470</v>
          </cell>
          <cell r="C32">
            <v>493</v>
          </cell>
        </row>
        <row r="33">
          <cell r="B33">
            <v>53</v>
          </cell>
          <cell r="C33">
            <v>24</v>
          </cell>
        </row>
        <row r="34">
          <cell r="B34" t="str">
            <v>2 201</v>
          </cell>
          <cell r="C34" t="str">
            <v>1 946</v>
          </cell>
        </row>
        <row r="35">
          <cell r="B35">
            <v>159</v>
          </cell>
          <cell r="C35">
            <v>147</v>
          </cell>
        </row>
        <row r="36">
          <cell r="B36">
            <v>406</v>
          </cell>
          <cell r="C36">
            <v>782</v>
          </cell>
        </row>
        <row r="37">
          <cell r="B37" t="str">
            <v>8 271</v>
          </cell>
          <cell r="C37" t="str">
            <v>8 236</v>
          </cell>
        </row>
        <row r="38">
          <cell r="B38">
            <v>26</v>
          </cell>
          <cell r="C38">
            <v>27</v>
          </cell>
        </row>
        <row r="39">
          <cell r="B39" t="str">
            <v>4 778</v>
          </cell>
          <cell r="C39" t="str">
            <v>10 244</v>
          </cell>
        </row>
        <row r="40">
          <cell r="B40" t="str">
            <v>1 000</v>
          </cell>
          <cell r="C40" t="str">
            <v>6 163</v>
          </cell>
        </row>
        <row r="41">
          <cell r="B41">
            <v>34</v>
          </cell>
          <cell r="C41">
            <v>29</v>
          </cell>
        </row>
        <row r="42">
          <cell r="B42" t="str">
            <v>2 230</v>
          </cell>
          <cell r="C42" t="str">
            <v>2 940</v>
          </cell>
        </row>
        <row r="43">
          <cell r="B43">
            <v>101</v>
          </cell>
          <cell r="C43">
            <v>185</v>
          </cell>
        </row>
        <row r="44">
          <cell r="C44">
            <v>49</v>
          </cell>
        </row>
        <row r="45">
          <cell r="B45">
            <v>1</v>
          </cell>
          <cell r="C45">
            <v>17</v>
          </cell>
        </row>
        <row r="46">
          <cell r="B46" t="str">
            <v>1 412</v>
          </cell>
          <cell r="C46">
            <v>861</v>
          </cell>
        </row>
        <row r="48">
          <cell r="B48" t="str">
            <v>25 619</v>
          </cell>
          <cell r="C48" t="str">
            <v>30 485</v>
          </cell>
        </row>
        <row r="49">
          <cell r="B49" t="str">
            <v>75 717</v>
          </cell>
          <cell r="C49" t="str">
            <v>78 606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0ADD-2AE2-45FC-A611-5C10D2C90757}">
  <dimension ref="A1:F38"/>
  <sheetViews>
    <sheetView tabSelected="1" workbookViewId="0">
      <selection activeCell="C6" sqref="C6"/>
    </sheetView>
  </sheetViews>
  <sheetFormatPr defaultColWidth="87.125" defaultRowHeight="14.25"/>
  <cols>
    <col min="1" max="1" width="50.5" customWidth="1"/>
    <col min="2" max="2" width="13.875" customWidth="1"/>
    <col min="3" max="3" width="15.25" customWidth="1"/>
    <col min="4" max="4" width="12.5" customWidth="1"/>
    <col min="5" max="5" width="14.25" customWidth="1"/>
    <col min="6" max="6" width="15.75" customWidth="1"/>
    <col min="7" max="7" width="15" customWidth="1"/>
  </cols>
  <sheetData>
    <row r="1" spans="1:6" ht="24" thickBot="1">
      <c r="A1" s="5" t="s">
        <v>160</v>
      </c>
    </row>
    <row r="2" spans="1:6" ht="15">
      <c r="A2" s="7"/>
      <c r="B2" s="8" t="s">
        <v>62</v>
      </c>
      <c r="C2" s="9" t="s">
        <v>63</v>
      </c>
      <c r="D2" s="39">
        <v>2023</v>
      </c>
      <c r="E2" s="40">
        <v>2022</v>
      </c>
      <c r="F2" s="41">
        <v>2021</v>
      </c>
    </row>
    <row r="3" spans="1:6" ht="15.75" thickBot="1">
      <c r="A3" s="11"/>
      <c r="B3" s="12" t="s">
        <v>134</v>
      </c>
      <c r="C3" s="13" t="s">
        <v>134</v>
      </c>
      <c r="D3" s="42" t="s">
        <v>126</v>
      </c>
      <c r="E3" s="40" t="s">
        <v>126</v>
      </c>
      <c r="F3" s="41" t="s">
        <v>126</v>
      </c>
    </row>
    <row r="4" spans="1:6" ht="16.5" thickTop="1" thickBot="1">
      <c r="A4" s="6"/>
      <c r="B4" s="6"/>
      <c r="C4" s="6"/>
      <c r="D4" s="10"/>
      <c r="E4" s="6"/>
    </row>
    <row r="5" spans="1:6" ht="15">
      <c r="A5" s="6" t="s">
        <v>64</v>
      </c>
      <c r="B5" s="53">
        <v>41771</v>
      </c>
      <c r="C5" s="35">
        <v>40725</v>
      </c>
      <c r="D5" s="43">
        <v>38698</v>
      </c>
      <c r="E5" s="28" t="s">
        <v>137</v>
      </c>
      <c r="F5" s="148" t="s">
        <v>138</v>
      </c>
    </row>
    <row r="6" spans="1:6" ht="15.75" thickBot="1">
      <c r="A6" s="15" t="s">
        <v>65</v>
      </c>
      <c r="B6" s="54">
        <v>-34656</v>
      </c>
      <c r="C6" s="36">
        <v>-33118</v>
      </c>
      <c r="D6" s="44">
        <v>-28071</v>
      </c>
      <c r="E6" s="32" t="s">
        <v>139</v>
      </c>
      <c r="F6" s="149" t="s">
        <v>140</v>
      </c>
    </row>
    <row r="7" spans="1:6" ht="15">
      <c r="A7" s="16" t="s">
        <v>66</v>
      </c>
      <c r="B7" s="53">
        <v>7115</v>
      </c>
      <c r="C7" s="35">
        <v>7607</v>
      </c>
      <c r="D7" s="43">
        <v>10627</v>
      </c>
      <c r="E7" s="28" t="s">
        <v>141</v>
      </c>
      <c r="F7" s="148" t="s">
        <v>142</v>
      </c>
    </row>
    <row r="8" spans="1:6" ht="15">
      <c r="A8" s="22" t="s">
        <v>127</v>
      </c>
      <c r="B8" s="55">
        <v>0</v>
      </c>
      <c r="C8" s="25">
        <v>0</v>
      </c>
      <c r="D8" s="45">
        <v>0</v>
      </c>
      <c r="E8" s="29">
        <v>-21</v>
      </c>
      <c r="F8" s="150" t="s">
        <v>143</v>
      </c>
    </row>
    <row r="9" spans="1:6" ht="15.75" thickBot="1">
      <c r="A9" s="15" t="s">
        <v>67</v>
      </c>
      <c r="B9" s="54">
        <v>32</v>
      </c>
      <c r="C9" s="36">
        <v>0</v>
      </c>
      <c r="D9" s="46">
        <v>0</v>
      </c>
      <c r="E9" s="32">
        <v>-947</v>
      </c>
      <c r="F9" s="149">
        <v>0</v>
      </c>
    </row>
    <row r="10" spans="1:6" ht="15">
      <c r="A10" s="16" t="s">
        <v>68</v>
      </c>
      <c r="B10" s="56">
        <v>7147</v>
      </c>
      <c r="C10" s="14">
        <v>7607</v>
      </c>
      <c r="D10" s="47">
        <v>10627</v>
      </c>
      <c r="E10" s="26" t="s">
        <v>144</v>
      </c>
      <c r="F10" s="151" t="s">
        <v>145</v>
      </c>
    </row>
    <row r="11" spans="1:6" ht="15">
      <c r="A11" s="6" t="s">
        <v>69</v>
      </c>
      <c r="B11" s="56">
        <v>1739</v>
      </c>
      <c r="C11" s="14">
        <v>1786</v>
      </c>
      <c r="D11" s="47">
        <v>1570</v>
      </c>
      <c r="E11" s="26">
        <v>239</v>
      </c>
      <c r="F11" s="151">
        <v>215</v>
      </c>
    </row>
    <row r="12" spans="1:6" ht="15">
      <c r="A12" s="6" t="s">
        <v>70</v>
      </c>
      <c r="B12" s="56">
        <v>-1124</v>
      </c>
      <c r="C12" s="14">
        <v>-1216</v>
      </c>
      <c r="D12" s="47">
        <v>-1252</v>
      </c>
      <c r="E12" s="26">
        <v>-860</v>
      </c>
      <c r="F12" s="151" t="s">
        <v>146</v>
      </c>
    </row>
    <row r="13" spans="1:6" ht="15">
      <c r="A13" s="23" t="s">
        <v>128</v>
      </c>
      <c r="B13" s="56">
        <v>0</v>
      </c>
      <c r="C13" s="14">
        <v>0</v>
      </c>
      <c r="D13" s="47">
        <v>0</v>
      </c>
      <c r="E13" s="26">
        <v>55</v>
      </c>
      <c r="F13" s="151">
        <v>4</v>
      </c>
    </row>
    <row r="14" spans="1:6" ht="15">
      <c r="A14" s="22" t="s">
        <v>129</v>
      </c>
      <c r="B14" s="56">
        <v>0</v>
      </c>
      <c r="C14" s="14">
        <v>0</v>
      </c>
      <c r="D14" s="47">
        <v>0</v>
      </c>
      <c r="E14" s="26" t="s">
        <v>147</v>
      </c>
      <c r="F14" s="151" t="s">
        <v>148</v>
      </c>
    </row>
    <row r="15" spans="1:6" ht="15.75" thickBot="1">
      <c r="A15" s="15" t="s">
        <v>71</v>
      </c>
      <c r="B15" s="57">
        <v>4488</v>
      </c>
      <c r="C15" s="25">
        <v>4270</v>
      </c>
      <c r="D15" s="45">
        <v>6987</v>
      </c>
      <c r="E15" s="26">
        <v>0</v>
      </c>
      <c r="F15" s="151">
        <v>-504</v>
      </c>
    </row>
    <row r="16" spans="1:6" ht="15">
      <c r="A16" s="16" t="s">
        <v>72</v>
      </c>
      <c r="B16" s="53">
        <v>12250</v>
      </c>
      <c r="C16" s="35">
        <v>12447</v>
      </c>
      <c r="D16" s="43">
        <v>17934</v>
      </c>
      <c r="E16" s="28" t="s">
        <v>149</v>
      </c>
      <c r="F16" s="148" t="s">
        <v>150</v>
      </c>
    </row>
    <row r="17" spans="1:6" ht="15.75" thickBot="1">
      <c r="A17" s="15" t="s">
        <v>73</v>
      </c>
      <c r="B17" s="54">
        <v>-2390</v>
      </c>
      <c r="C17" s="36">
        <v>-2377</v>
      </c>
      <c r="D17" s="46">
        <v>-3231</v>
      </c>
      <c r="E17" s="32" t="s">
        <v>151</v>
      </c>
      <c r="F17" s="149">
        <v>-719</v>
      </c>
    </row>
    <row r="18" spans="1:6" ht="15">
      <c r="A18" s="23" t="s">
        <v>130</v>
      </c>
      <c r="B18" s="56">
        <v>0</v>
      </c>
      <c r="C18" s="14">
        <v>0</v>
      </c>
      <c r="D18" s="47">
        <v>0</v>
      </c>
      <c r="E18" s="26" t="s">
        <v>152</v>
      </c>
      <c r="F18" s="151" t="s">
        <v>153</v>
      </c>
    </row>
    <row r="19" spans="1:6" ht="15">
      <c r="A19" s="24" t="s">
        <v>131</v>
      </c>
      <c r="B19" s="56">
        <v>0</v>
      </c>
      <c r="C19" s="14">
        <v>0</v>
      </c>
      <c r="D19" s="152">
        <v>0</v>
      </c>
      <c r="E19" s="153" t="s">
        <v>154</v>
      </c>
      <c r="F19" s="151">
        <v>276</v>
      </c>
    </row>
    <row r="20" spans="1:6" ht="15">
      <c r="A20" s="16" t="s">
        <v>74</v>
      </c>
      <c r="B20" s="56">
        <v>9860</v>
      </c>
      <c r="C20" s="14">
        <v>10070</v>
      </c>
      <c r="D20" s="47">
        <v>14703</v>
      </c>
      <c r="E20" s="26" t="s">
        <v>155</v>
      </c>
      <c r="F20" s="151" t="s">
        <v>156</v>
      </c>
    </row>
    <row r="21" spans="1:6" ht="15.75" thickBot="1">
      <c r="A21" s="16" t="s">
        <v>75</v>
      </c>
      <c r="B21" s="57">
        <v>-547</v>
      </c>
      <c r="C21" s="25">
        <v>-99</v>
      </c>
      <c r="D21" s="45">
        <v>200</v>
      </c>
      <c r="E21" s="26">
        <v>-913</v>
      </c>
      <c r="F21" s="151">
        <v>-251</v>
      </c>
    </row>
    <row r="22" spans="1:6" ht="15.75" thickBot="1">
      <c r="A22" s="6" t="s">
        <v>76</v>
      </c>
      <c r="B22" s="58">
        <v>-40</v>
      </c>
      <c r="C22" s="38">
        <v>14</v>
      </c>
      <c r="D22" s="48">
        <v>-29</v>
      </c>
      <c r="E22" s="34">
        <v>40</v>
      </c>
      <c r="F22" s="154">
        <v>10</v>
      </c>
    </row>
    <row r="23" spans="1:6" ht="15">
      <c r="A23" s="6" t="s">
        <v>77</v>
      </c>
      <c r="B23" s="53"/>
      <c r="C23" s="27">
        <v>6</v>
      </c>
      <c r="D23" s="49">
        <v>0</v>
      </c>
      <c r="E23" s="28">
        <v>0</v>
      </c>
      <c r="F23" s="148">
        <v>21</v>
      </c>
    </row>
    <row r="24" spans="1:6" ht="15">
      <c r="A24" s="6" t="s">
        <v>78</v>
      </c>
      <c r="B24" s="55">
        <v>-39</v>
      </c>
      <c r="C24" s="17">
        <v>6</v>
      </c>
      <c r="D24" s="50">
        <v>-31</v>
      </c>
      <c r="E24" s="29">
        <v>49</v>
      </c>
      <c r="F24" s="150">
        <v>-13</v>
      </c>
    </row>
    <row r="25" spans="1:6" ht="15.75" thickBot="1">
      <c r="A25" s="6" t="s">
        <v>79</v>
      </c>
      <c r="B25" s="54">
        <v>-1</v>
      </c>
      <c r="C25" s="31">
        <v>2</v>
      </c>
      <c r="D25" s="51">
        <v>2</v>
      </c>
      <c r="E25" s="32">
        <v>-9</v>
      </c>
      <c r="F25" s="149">
        <v>2</v>
      </c>
    </row>
    <row r="26" spans="1:6" ht="15.75" thickBot="1">
      <c r="A26" s="6" t="s">
        <v>80</v>
      </c>
      <c r="B26" s="57">
        <v>-525</v>
      </c>
      <c r="C26" s="25">
        <v>-94</v>
      </c>
      <c r="D26" s="50">
        <v>244</v>
      </c>
      <c r="E26" s="26">
        <v>302</v>
      </c>
      <c r="F26" s="151">
        <v>-281</v>
      </c>
    </row>
    <row r="27" spans="1:6" ht="15">
      <c r="A27" s="6" t="s">
        <v>81</v>
      </c>
      <c r="B27" s="53">
        <v>-81</v>
      </c>
      <c r="C27" s="27">
        <v>11</v>
      </c>
      <c r="D27" s="49">
        <v>88</v>
      </c>
      <c r="E27" s="28">
        <v>39</v>
      </c>
      <c r="F27" s="148">
        <v>55</v>
      </c>
    </row>
    <row r="28" spans="1:6" ht="15">
      <c r="A28" s="6" t="s">
        <v>82</v>
      </c>
      <c r="B28" s="55">
        <v>-278</v>
      </c>
      <c r="C28" s="17">
        <v>-20</v>
      </c>
      <c r="D28" s="50">
        <v>-44</v>
      </c>
      <c r="E28" s="29">
        <v>84</v>
      </c>
      <c r="F28" s="150">
        <v>-385</v>
      </c>
    </row>
    <row r="29" spans="1:6" ht="15">
      <c r="A29" s="6" t="s">
        <v>83</v>
      </c>
      <c r="B29" s="55">
        <v>-33</v>
      </c>
      <c r="C29" s="17">
        <v>-5</v>
      </c>
      <c r="D29" s="50">
        <v>-9</v>
      </c>
      <c r="E29" s="29">
        <v>0</v>
      </c>
      <c r="F29" s="150">
        <v>0</v>
      </c>
    </row>
    <row r="30" spans="1:6" ht="15.75" thickBot="1">
      <c r="A30" s="6" t="s">
        <v>79</v>
      </c>
      <c r="B30" s="54">
        <v>-133</v>
      </c>
      <c r="C30" s="31">
        <v>-80</v>
      </c>
      <c r="D30" s="51">
        <v>209</v>
      </c>
      <c r="E30" s="32">
        <v>179</v>
      </c>
      <c r="F30" s="149">
        <v>49</v>
      </c>
    </row>
    <row r="31" spans="1:6" ht="15.75" thickBot="1">
      <c r="A31" s="6" t="s">
        <v>84</v>
      </c>
      <c r="B31" s="57">
        <v>18</v>
      </c>
      <c r="C31" s="25">
        <v>-19</v>
      </c>
      <c r="D31" s="50">
        <v>-15</v>
      </c>
      <c r="E31" s="26" t="s">
        <v>157</v>
      </c>
      <c r="F31" s="151">
        <v>20</v>
      </c>
    </row>
    <row r="32" spans="1:6" ht="15.75" thickBot="1">
      <c r="A32" s="6" t="s">
        <v>85</v>
      </c>
      <c r="B32" s="58">
        <v>18</v>
      </c>
      <c r="C32" s="33">
        <v>-19</v>
      </c>
      <c r="D32" s="48">
        <v>-15</v>
      </c>
      <c r="E32" s="34">
        <v>105</v>
      </c>
      <c r="F32" s="154">
        <v>77</v>
      </c>
    </row>
    <row r="33" spans="1:6" ht="15">
      <c r="A33" s="23" t="s">
        <v>132</v>
      </c>
      <c r="B33" s="57">
        <v>0</v>
      </c>
      <c r="C33" s="25">
        <v>0</v>
      </c>
      <c r="D33" s="45">
        <v>0</v>
      </c>
      <c r="E33" s="26">
        <v>-482</v>
      </c>
      <c r="F33" s="151">
        <v>-103</v>
      </c>
    </row>
    <row r="34" spans="1:6" ht="15">
      <c r="A34" s="23" t="s">
        <v>133</v>
      </c>
      <c r="B34" s="57"/>
      <c r="C34" s="25"/>
      <c r="D34" s="45"/>
      <c r="E34" s="26">
        <v>-878</v>
      </c>
      <c r="F34" s="151">
        <v>46</v>
      </c>
    </row>
    <row r="35" spans="1:6" ht="17.25" customHeight="1" thickBot="1">
      <c r="A35" s="6"/>
      <c r="B35" s="56"/>
      <c r="C35" s="14"/>
      <c r="D35" s="52"/>
      <c r="E35" s="26"/>
      <c r="F35" s="151"/>
    </row>
    <row r="36" spans="1:6" ht="15.75" thickBot="1">
      <c r="A36" s="18" t="s">
        <v>86</v>
      </c>
      <c r="B36" s="59">
        <v>9313</v>
      </c>
      <c r="C36" s="60">
        <v>9971</v>
      </c>
      <c r="D36" s="61">
        <v>14903</v>
      </c>
      <c r="E36" s="62" t="s">
        <v>158</v>
      </c>
      <c r="F36" s="155" t="s">
        <v>159</v>
      </c>
    </row>
    <row r="37" spans="1:6" ht="15">
      <c r="A37" s="6"/>
      <c r="B37" s="14"/>
      <c r="C37" s="14"/>
      <c r="D37" s="10"/>
      <c r="E37" s="6"/>
    </row>
    <row r="38" spans="1:6" ht="15">
      <c r="A38" s="6"/>
      <c r="B38" s="6"/>
      <c r="C38" s="6"/>
      <c r="D38" s="6"/>
      <c r="E3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08C5-0B6C-4611-A749-A80BD73B4D45}">
  <dimension ref="A1:F49"/>
  <sheetViews>
    <sheetView workbookViewId="0"/>
  </sheetViews>
  <sheetFormatPr defaultColWidth="8.875" defaultRowHeight="15"/>
  <cols>
    <col min="1" max="1" width="34.875" style="6" customWidth="1"/>
    <col min="2" max="2" width="17.5" style="6" customWidth="1"/>
    <col min="3" max="3" width="14.75" style="6" customWidth="1"/>
    <col min="4" max="6" width="16.25" style="6" customWidth="1"/>
    <col min="7" max="16384" width="8.875" style="6"/>
  </cols>
  <sheetData>
    <row r="1" spans="1:6" ht="24" thickBot="1">
      <c r="A1" s="19" t="s">
        <v>161</v>
      </c>
    </row>
    <row r="2" spans="1:6">
      <c r="A2" s="90"/>
      <c r="B2" s="92">
        <v>2025</v>
      </c>
      <c r="C2" s="93">
        <v>2024</v>
      </c>
      <c r="D2" s="94">
        <v>2023</v>
      </c>
      <c r="E2" s="94">
        <v>2022</v>
      </c>
      <c r="F2" s="95">
        <v>2021</v>
      </c>
    </row>
    <row r="3" spans="1:6" ht="15.75" thickBot="1">
      <c r="A3" s="91"/>
      <c r="B3" s="96" t="s">
        <v>87</v>
      </c>
      <c r="C3" s="13" t="s">
        <v>87</v>
      </c>
      <c r="D3" s="67" t="s">
        <v>126</v>
      </c>
      <c r="E3" s="67" t="s">
        <v>126</v>
      </c>
      <c r="F3" s="97" t="s">
        <v>126</v>
      </c>
    </row>
    <row r="4" spans="1:6" ht="16.5" thickTop="1" thickBot="1">
      <c r="A4" s="20" t="s">
        <v>88</v>
      </c>
      <c r="B4" s="30"/>
      <c r="C4" s="36"/>
      <c r="D4" s="37"/>
      <c r="E4" s="37"/>
      <c r="F4" s="98"/>
    </row>
    <row r="5" spans="1:6" ht="15.75" thickBot="1">
      <c r="A5" s="16" t="s">
        <v>89</v>
      </c>
      <c r="B5" s="81">
        <v>70547</v>
      </c>
      <c r="C5" s="82">
        <v>66799</v>
      </c>
      <c r="D5" s="83">
        <f>'[1]FINANCIAL POSITION_2324'!$C$6</f>
        <v>66153</v>
      </c>
      <c r="E5" s="84" t="str">
        <f>'[2]FINANCIAL POSITION_2021'!$B$5</f>
        <v>63 298</v>
      </c>
      <c r="F5" s="99" t="str">
        <f>'[2]FINANCIAL POSITION_2021'!$C$5</f>
        <v>65 824</v>
      </c>
    </row>
    <row r="6" spans="1:6">
      <c r="A6" s="6" t="s">
        <v>90</v>
      </c>
      <c r="B6" s="53">
        <v>39667</v>
      </c>
      <c r="C6" s="27">
        <v>37292</v>
      </c>
      <c r="D6" s="78">
        <f>'[1]FINANCIAL POSITION_2324'!$C$7</f>
        <v>37226</v>
      </c>
      <c r="E6" s="64" t="str">
        <f>'[2]FINANCIAL POSITION_2021'!$B$6</f>
        <v>38 351</v>
      </c>
      <c r="F6" s="100" t="str">
        <f>'[2]FINANCIAL POSITION_2021'!$C$6</f>
        <v>38 395</v>
      </c>
    </row>
    <row r="7" spans="1:6">
      <c r="A7" s="6" t="s">
        <v>91</v>
      </c>
      <c r="B7" s="55">
        <v>2613</v>
      </c>
      <c r="C7" s="17">
        <v>2598</v>
      </c>
      <c r="D7" s="79">
        <f>'[1]FINANCIAL POSITION_2324'!$C$8</f>
        <v>2790</v>
      </c>
      <c r="E7" s="65" t="str">
        <f>'[2]FINANCIAL POSITION_2021'!$B$7</f>
        <v>2 927</v>
      </c>
      <c r="F7" s="101" t="str">
        <f>'[2]FINANCIAL POSITION_2021'!$C$7</f>
        <v>3 095</v>
      </c>
    </row>
    <row r="8" spans="1:6">
      <c r="A8" s="6" t="s">
        <v>92</v>
      </c>
      <c r="B8" s="55">
        <v>626</v>
      </c>
      <c r="C8" s="17">
        <v>281</v>
      </c>
      <c r="D8" s="79">
        <f>'[1]FINANCIAL POSITION_2324'!$C$9</f>
        <v>308</v>
      </c>
      <c r="E8" s="65">
        <f>'[2]FINANCIAL POSITION_2021'!$B$8</f>
        <v>401</v>
      </c>
      <c r="F8" s="101">
        <f>'[2]FINANCIAL POSITION_2021'!$C$8</f>
        <v>453</v>
      </c>
    </row>
    <row r="9" spans="1:6">
      <c r="A9" s="6" t="s">
        <v>93</v>
      </c>
      <c r="B9" s="55">
        <v>21592</v>
      </c>
      <c r="C9" s="17">
        <v>20596</v>
      </c>
      <c r="D9" s="79">
        <f>'[1]FINANCIAL POSITION_2324'!$C$10</f>
        <v>20278</v>
      </c>
      <c r="E9" s="65" t="str">
        <f>'[2]FINANCIAL POSITION_2021'!$B$10</f>
        <v>17 322</v>
      </c>
      <c r="F9" s="101" t="str">
        <f>'[2]FINANCIAL POSITION_2021'!$C$10</f>
        <v>20 006</v>
      </c>
    </row>
    <row r="10" spans="1:6">
      <c r="A10" s="6" t="s">
        <v>94</v>
      </c>
      <c r="B10" s="55">
        <v>5015</v>
      </c>
      <c r="C10" s="17">
        <v>5266</v>
      </c>
      <c r="D10" s="79">
        <f>'[1]FINANCIAL POSITION_2324'!$C$11</f>
        <v>4616</v>
      </c>
      <c r="E10" s="65" t="str">
        <f>'[2]FINANCIAL POSITION_2021'!$B$11</f>
        <v>3 237</v>
      </c>
      <c r="F10" s="101" t="str">
        <f>'[2]FINANCIAL POSITION_2021'!$C$11</f>
        <v>2 141</v>
      </c>
    </row>
    <row r="11" spans="1:6">
      <c r="A11" s="6" t="s">
        <v>95</v>
      </c>
      <c r="B11" s="55">
        <v>388</v>
      </c>
      <c r="C11" s="17">
        <v>197</v>
      </c>
      <c r="D11" s="79">
        <f>'[1]FINANCIAL POSITION_2324'!$C$12</f>
        <v>206</v>
      </c>
      <c r="E11" s="65">
        <f>'[2]FINANCIAL POSITION_2021'!$B$12</f>
        <v>369</v>
      </c>
      <c r="F11" s="101" t="str">
        <f>'[2]FINANCIAL POSITION_2021'!$C$12</f>
        <v>1 076</v>
      </c>
    </row>
    <row r="12" spans="1:6" ht="15.75" thickBot="1">
      <c r="A12" s="6" t="s">
        <v>96</v>
      </c>
      <c r="B12" s="54">
        <v>646</v>
      </c>
      <c r="C12" s="31">
        <v>569</v>
      </c>
      <c r="D12" s="80">
        <f>'[1]FINANCIAL POSITION_2324'!$C$13</f>
        <v>729</v>
      </c>
      <c r="E12" s="66">
        <f>'[2]FINANCIAL POSITION_2021'!$B$13</f>
        <v>546</v>
      </c>
      <c r="F12" s="102">
        <f>'[2]FINANCIAL POSITION_2021'!$C$13</f>
        <v>530</v>
      </c>
    </row>
    <row r="13" spans="1:6" ht="15.75" thickBot="1">
      <c r="A13" s="16" t="s">
        <v>97</v>
      </c>
      <c r="B13" s="81">
        <v>32663</v>
      </c>
      <c r="C13" s="82">
        <v>27917</v>
      </c>
      <c r="D13" s="83">
        <f>'[1]FINANCIAL POSITION_2324'!$C$14</f>
        <v>26701</v>
      </c>
      <c r="E13" s="84" t="str">
        <f>'[2]FINANCIAL POSITION_2021'!$B$14</f>
        <v>12 419</v>
      </c>
      <c r="F13" s="99" t="str">
        <f>'[2]FINANCIAL POSITION_2021'!$C$14</f>
        <v>9 033</v>
      </c>
    </row>
    <row r="14" spans="1:6">
      <c r="A14" s="6" t="s">
        <v>98</v>
      </c>
      <c r="B14" s="53">
        <v>2790</v>
      </c>
      <c r="C14" s="27">
        <v>2427</v>
      </c>
      <c r="D14" s="78">
        <f>'[1]FINANCIAL POSITION_2324'!$C$15</f>
        <v>2270</v>
      </c>
      <c r="E14" s="64" t="str">
        <f>'[2]FINANCIAL POSITION_2021'!$B$15</f>
        <v>1 606</v>
      </c>
      <c r="F14" s="100" t="str">
        <f>'[2]FINANCIAL POSITION_2021'!$C$15</f>
        <v>1 821</v>
      </c>
    </row>
    <row r="15" spans="1:6">
      <c r="A15" s="6" t="s">
        <v>94</v>
      </c>
      <c r="B15" s="55">
        <v>1259</v>
      </c>
      <c r="C15" s="17">
        <v>159</v>
      </c>
      <c r="D15" s="79">
        <f>'[1]FINANCIAL POSITION_2324'!$C$16</f>
        <v>210</v>
      </c>
      <c r="E15" s="65">
        <f>'[2]FINANCIAL POSITION_2021'!$B$16</f>
        <v>311</v>
      </c>
      <c r="F15" s="101">
        <f>'[2]FINANCIAL POSITION_2021'!$C$16</f>
        <v>169</v>
      </c>
    </row>
    <row r="16" spans="1:6">
      <c r="A16" s="6" t="s">
        <v>99</v>
      </c>
      <c r="B16" s="55">
        <v>4283</v>
      </c>
      <c r="C16" s="17">
        <v>4230</v>
      </c>
      <c r="D16" s="79">
        <f>'[1]FINANCIAL POSITION_2324'!$C$17</f>
        <v>3877</v>
      </c>
      <c r="E16" s="65" t="str">
        <f>'[2]FINANCIAL POSITION_2021'!$B$17</f>
        <v>2 701</v>
      </c>
      <c r="F16" s="101" t="str">
        <f>'[2]FINANCIAL POSITION_2021'!$C$17</f>
        <v>2 827</v>
      </c>
    </row>
    <row r="17" spans="1:6">
      <c r="A17" s="6" t="s">
        <v>100</v>
      </c>
      <c r="B17" s="55">
        <v>23690</v>
      </c>
      <c r="C17" s="17">
        <v>20630</v>
      </c>
      <c r="D17" s="79">
        <f>'[1]FINANCIAL POSITION_2324'!$C$18</f>
        <v>19859</v>
      </c>
      <c r="E17" s="65" t="str">
        <f>'[2]FINANCIAL POSITION_2021'!$B$18</f>
        <v>7 042</v>
      </c>
      <c r="F17" s="101" t="str">
        <f>'[2]FINANCIAL POSITION_2021'!$C$18</f>
        <v>3 196</v>
      </c>
    </row>
    <row r="18" spans="1:6">
      <c r="A18" s="6" t="s">
        <v>101</v>
      </c>
      <c r="B18" s="55">
        <v>86</v>
      </c>
      <c r="C18" s="17">
        <v>15</v>
      </c>
      <c r="D18" s="79">
        <f>'[1]FINANCIAL POSITION_2324'!$C$19</f>
        <v>3</v>
      </c>
      <c r="E18" s="65">
        <v>0</v>
      </c>
      <c r="F18" s="101">
        <v>0</v>
      </c>
    </row>
    <row r="19" spans="1:6" ht="15.75" thickBot="1">
      <c r="A19" s="6" t="s">
        <v>96</v>
      </c>
      <c r="B19" s="54">
        <v>555</v>
      </c>
      <c r="C19" s="31">
        <v>456</v>
      </c>
      <c r="D19" s="80">
        <f>'[1]FINANCIAL POSITION_2324'!$C$20</f>
        <v>482</v>
      </c>
      <c r="E19" s="66">
        <f>'[2]FINANCIAL POSITION_2021'!$B$19</f>
        <v>759</v>
      </c>
      <c r="F19" s="102" t="str">
        <f>'[2]FINANCIAL POSITION_2021'!$C$19</f>
        <v>1 020</v>
      </c>
    </row>
    <row r="20" spans="1:6" ht="15.75" thickBot="1">
      <c r="A20" s="67" t="s">
        <v>135</v>
      </c>
      <c r="B20" s="57">
        <v>0</v>
      </c>
      <c r="C20" s="25">
        <v>0</v>
      </c>
      <c r="D20" s="77">
        <v>0</v>
      </c>
      <c r="E20" s="63">
        <v>0</v>
      </c>
      <c r="F20" s="101" t="str">
        <f>'[2]FINANCIAL POSITION_2021'!$C$20</f>
        <v>3 749</v>
      </c>
    </row>
    <row r="21" spans="1:6" ht="15.75" thickBot="1">
      <c r="A21" s="68" t="s">
        <v>102</v>
      </c>
      <c r="B21" s="85">
        <v>103210</v>
      </c>
      <c r="C21" s="86">
        <v>94716</v>
      </c>
      <c r="D21" s="87">
        <f>'[1]FINANCIAL POSITION_2324'!$C$22</f>
        <v>92854</v>
      </c>
      <c r="E21" s="88" t="str">
        <f>'[2]FINANCIAL POSITION_2021'!$B$21</f>
        <v>75 717</v>
      </c>
      <c r="F21" s="103" t="str">
        <f>'[2]FINANCIAL POSITION_2021'!$C$21</f>
        <v>78 606</v>
      </c>
    </row>
    <row r="22" spans="1:6">
      <c r="A22" s="20" t="s">
        <v>103</v>
      </c>
      <c r="B22" s="56"/>
      <c r="C22" s="14"/>
      <c r="D22" s="77"/>
      <c r="E22" s="63"/>
      <c r="F22" s="101"/>
    </row>
    <row r="23" spans="1:6">
      <c r="A23" s="16" t="s">
        <v>104</v>
      </c>
      <c r="B23" s="56"/>
      <c r="C23" s="14"/>
      <c r="D23" s="77"/>
      <c r="E23" s="63"/>
      <c r="F23" s="101"/>
    </row>
    <row r="24" spans="1:6">
      <c r="A24" s="6" t="s">
        <v>105</v>
      </c>
      <c r="B24" s="56">
        <v>952</v>
      </c>
      <c r="C24" s="14">
        <v>983</v>
      </c>
      <c r="D24" s="77">
        <f>'[1]FINANCIAL POSITION_2324'!$C$25</f>
        <v>983</v>
      </c>
      <c r="E24" s="63">
        <f>'[2]FINANCIAL POSITION_2021'!$B$24</f>
        <v>983</v>
      </c>
      <c r="F24" s="101" t="str">
        <f>'[2]FINANCIAL POSITION_2021'!$C$24</f>
        <v>1 021</v>
      </c>
    </row>
    <row r="25" spans="1:6">
      <c r="A25" s="6" t="s">
        <v>106</v>
      </c>
      <c r="B25" s="56">
        <v>834</v>
      </c>
      <c r="C25" s="14">
        <v>1119</v>
      </c>
      <c r="D25" s="77">
        <f>'[1]FINANCIAL POSITION_2324'!$C$26</f>
        <v>1341</v>
      </c>
      <c r="E25" s="63" t="str">
        <f>'[2]FINANCIAL POSITION_2021'!$B$25</f>
        <v>1 560</v>
      </c>
      <c r="F25" s="101" t="str">
        <f>'[2]FINANCIAL POSITION_2021'!$C$25</f>
        <v>2 495</v>
      </c>
    </row>
    <row r="26" spans="1:6" ht="15.75" thickBot="1">
      <c r="A26" s="69" t="s">
        <v>107</v>
      </c>
      <c r="B26" s="57">
        <v>54189</v>
      </c>
      <c r="C26" s="25">
        <v>51885</v>
      </c>
      <c r="D26" s="77">
        <f>'[1]FINANCIAL POSITION_2324'!$C$27</f>
        <v>49923</v>
      </c>
      <c r="E26" s="63" t="str">
        <f>'[2]FINANCIAL POSITION_2021'!$B$26</f>
        <v>37 007</v>
      </c>
      <c r="F26" s="101" t="str">
        <f>'[2]FINANCIAL POSITION_2021'!$C$26</f>
        <v>35 265</v>
      </c>
    </row>
    <row r="27" spans="1:6">
      <c r="A27" s="70" t="s">
        <v>108</v>
      </c>
      <c r="B27" s="75">
        <v>55975</v>
      </c>
      <c r="C27" s="35">
        <v>53987</v>
      </c>
      <c r="D27" s="78">
        <f>'[1]FINANCIAL POSITION_2324'!$C$28</f>
        <v>52247</v>
      </c>
      <c r="E27" s="64" t="str">
        <f>'[2]FINANCIAL POSITION_2021'!$B$27</f>
        <v>39 550</v>
      </c>
      <c r="F27" s="100" t="str">
        <f>'[2]FINANCIAL POSITION_2021'!$C$27</f>
        <v>38 781</v>
      </c>
    </row>
    <row r="28" spans="1:6" ht="15.75" thickBot="1">
      <c r="A28" s="71" t="s">
        <v>109</v>
      </c>
      <c r="B28" s="76">
        <v>15275</v>
      </c>
      <c r="C28" s="36">
        <v>14563</v>
      </c>
      <c r="D28" s="80">
        <f>'[1]FINANCIAL POSITION_2324'!$C$29</f>
        <v>14160</v>
      </c>
      <c r="E28" s="66" t="str">
        <f>'[2]FINANCIAL POSITION_2021'!$B$28</f>
        <v>10 548</v>
      </c>
      <c r="F28" s="102" t="str">
        <f>'[2]FINANCIAL POSITION_2021'!$C$28</f>
        <v>9 340</v>
      </c>
    </row>
    <row r="29" spans="1:6" ht="15.75" thickBot="1">
      <c r="A29" s="68" t="s">
        <v>110</v>
      </c>
      <c r="B29" s="85">
        <v>71250</v>
      </c>
      <c r="C29" s="86">
        <v>68550</v>
      </c>
      <c r="D29" s="87">
        <f>'[1]FINANCIAL POSITION_2324'!$C$30</f>
        <v>66407</v>
      </c>
      <c r="E29" s="88" t="str">
        <f>'[2]FINANCIAL POSITION_2021'!$B$29</f>
        <v>50 098</v>
      </c>
      <c r="F29" s="103" t="str">
        <f>'[2]FINANCIAL POSITION_2021'!$C$29</f>
        <v>48 121</v>
      </c>
    </row>
    <row r="30" spans="1:6" ht="15.75" thickBot="1">
      <c r="A30" s="16" t="s">
        <v>111</v>
      </c>
      <c r="B30" s="81">
        <v>25555</v>
      </c>
      <c r="C30" s="82">
        <v>20351</v>
      </c>
      <c r="D30" s="83">
        <f>'[1]FINANCIAL POSITION_2324'!$C$31</f>
        <v>20226</v>
      </c>
      <c r="E30" s="84" t="str">
        <f>'[2]FINANCIAL POSITION_2021'!$B$30</f>
        <v>20 841</v>
      </c>
      <c r="F30" s="99" t="str">
        <f>'[2]FINANCIAL POSITION_2021'!$C$30</f>
        <v>19 103</v>
      </c>
    </row>
    <row r="31" spans="1:6">
      <c r="A31" s="6" t="s">
        <v>112</v>
      </c>
      <c r="B31" s="53">
        <v>11259</v>
      </c>
      <c r="C31" s="27">
        <v>7344</v>
      </c>
      <c r="D31" s="78">
        <f>'[1]FINANCIAL POSITION_2324'!$C$32</f>
        <v>7480</v>
      </c>
      <c r="E31" s="64" t="str">
        <f>'[2]FINANCIAL POSITION_2021'!$B$31</f>
        <v>9 255</v>
      </c>
      <c r="F31" s="100" t="str">
        <f>'[2]FINANCIAL POSITION_2021'!$C$31</f>
        <v>7 448</v>
      </c>
    </row>
    <row r="32" spans="1:6">
      <c r="A32" s="6" t="s">
        <v>113</v>
      </c>
      <c r="B32" s="55">
        <v>675</v>
      </c>
      <c r="C32" s="17">
        <v>334</v>
      </c>
      <c r="D32" s="79">
        <f>'[1]FINANCIAL POSITION_2324'!$C$33</f>
        <v>400</v>
      </c>
      <c r="E32" s="65">
        <f>'[2]FINANCIAL POSITION_2021'!$B$32</f>
        <v>470</v>
      </c>
      <c r="F32" s="101">
        <f>'[2]FINANCIAL POSITION_2021'!$C$32</f>
        <v>493</v>
      </c>
    </row>
    <row r="33" spans="1:6">
      <c r="A33" s="6" t="s">
        <v>114</v>
      </c>
      <c r="B33" s="55">
        <v>11</v>
      </c>
      <c r="C33" s="17">
        <v>40</v>
      </c>
      <c r="D33" s="79">
        <f>'[1]FINANCIAL POSITION_2324'!$C$34</f>
        <v>42</v>
      </c>
      <c r="E33" s="65">
        <f>'[2]FINANCIAL POSITION_2021'!$B$33</f>
        <v>53</v>
      </c>
      <c r="F33" s="101">
        <f>'[2]FINANCIAL POSITION_2021'!$C$33</f>
        <v>24</v>
      </c>
    </row>
    <row r="34" spans="1:6">
      <c r="A34" s="6" t="s">
        <v>115</v>
      </c>
      <c r="B34" s="55">
        <v>3681</v>
      </c>
      <c r="C34" s="17">
        <v>3359</v>
      </c>
      <c r="D34" s="79">
        <f>'[1]FINANCIAL POSITION_2324'!$C$35</f>
        <v>2963</v>
      </c>
      <c r="E34" s="65" t="str">
        <f>'[2]FINANCIAL POSITION_2021'!$B$34</f>
        <v>2 201</v>
      </c>
      <c r="F34" s="101" t="str">
        <f>'[2]FINANCIAL POSITION_2021'!$C$34</f>
        <v>1 946</v>
      </c>
    </row>
    <row r="35" spans="1:6">
      <c r="A35" s="6" t="s">
        <v>116</v>
      </c>
      <c r="B35" s="55">
        <v>191</v>
      </c>
      <c r="C35" s="17">
        <v>181</v>
      </c>
      <c r="D35" s="79">
        <f>'[1]FINANCIAL POSITION_2324'!$C$36</f>
        <v>176</v>
      </c>
      <c r="E35" s="65">
        <f>'[2]FINANCIAL POSITION_2021'!$B$35</f>
        <v>159</v>
      </c>
      <c r="F35" s="101">
        <f>'[2]FINANCIAL POSITION_2021'!$C$35</f>
        <v>147</v>
      </c>
    </row>
    <row r="36" spans="1:6">
      <c r="A36" s="6" t="s">
        <v>117</v>
      </c>
      <c r="B36" s="55">
        <v>398</v>
      </c>
      <c r="C36" s="17">
        <v>129</v>
      </c>
      <c r="D36" s="79">
        <f>'[1]FINANCIAL POSITION_2324'!$C$37</f>
        <v>127</v>
      </c>
      <c r="E36" s="65">
        <f>'[2]FINANCIAL POSITION_2021'!$B$36</f>
        <v>406</v>
      </c>
      <c r="F36" s="101">
        <f>'[2]FINANCIAL POSITION_2021'!$C$36</f>
        <v>782</v>
      </c>
    </row>
    <row r="37" spans="1:6">
      <c r="A37" s="6" t="s">
        <v>95</v>
      </c>
      <c r="B37" s="55">
        <v>9301</v>
      </c>
      <c r="C37" s="17">
        <v>8926</v>
      </c>
      <c r="D37" s="79">
        <f>'[1]FINANCIAL POSITION_2324'!$C$38</f>
        <v>9003</v>
      </c>
      <c r="E37" s="65" t="str">
        <f>'[2]FINANCIAL POSITION_2021'!$B$37</f>
        <v>8 271</v>
      </c>
      <c r="F37" s="101" t="str">
        <f>'[2]FINANCIAL POSITION_2021'!$C$37</f>
        <v>8 236</v>
      </c>
    </row>
    <row r="38" spans="1:6" ht="15.75" thickBot="1">
      <c r="A38" s="6" t="s">
        <v>118</v>
      </c>
      <c r="B38" s="54">
        <v>39</v>
      </c>
      <c r="C38" s="31">
        <v>38</v>
      </c>
      <c r="D38" s="80">
        <f>'[1]FINANCIAL POSITION_2324'!$C$39</f>
        <v>35</v>
      </c>
      <c r="E38" s="66">
        <f>'[2]FINANCIAL POSITION_2021'!$B$38</f>
        <v>26</v>
      </c>
      <c r="F38" s="102">
        <f>'[2]FINANCIAL POSITION_2021'!$C$38</f>
        <v>27</v>
      </c>
    </row>
    <row r="39" spans="1:6" ht="15.75" thickBot="1">
      <c r="A39" s="21" t="s">
        <v>119</v>
      </c>
      <c r="B39" s="81">
        <v>6405</v>
      </c>
      <c r="C39" s="82">
        <v>5815</v>
      </c>
      <c r="D39" s="83">
        <f>'[1]FINANCIAL POSITION_2324'!$C$40</f>
        <v>6221</v>
      </c>
      <c r="E39" s="84" t="str">
        <f>'[2]FINANCIAL POSITION_2021'!$B$39</f>
        <v>4 778</v>
      </c>
      <c r="F39" s="99" t="str">
        <f>'[2]FINANCIAL POSITION_2021'!$C$39</f>
        <v>10 244</v>
      </c>
    </row>
    <row r="40" spans="1:6">
      <c r="A40" s="6" t="s">
        <v>112</v>
      </c>
      <c r="B40" s="53">
        <v>938</v>
      </c>
      <c r="C40" s="27">
        <v>876</v>
      </c>
      <c r="D40" s="78">
        <f>'[1]FINANCIAL POSITION_2324'!$C$41</f>
        <v>1443</v>
      </c>
      <c r="E40" s="64" t="str">
        <f>'[2]FINANCIAL POSITION_2021'!$B$40</f>
        <v>1 000</v>
      </c>
      <c r="F40" s="100" t="str">
        <f>'[2]FINANCIAL POSITION_2021'!$C$40</f>
        <v>6 163</v>
      </c>
    </row>
    <row r="41" spans="1:6">
      <c r="A41" s="6" t="s">
        <v>113</v>
      </c>
      <c r="B41" s="55">
        <v>104</v>
      </c>
      <c r="C41" s="17">
        <v>96</v>
      </c>
      <c r="D41" s="79">
        <f>'[1]FINANCIAL POSITION_2324'!$C$42</f>
        <v>51</v>
      </c>
      <c r="E41" s="65">
        <f>'[2]FINANCIAL POSITION_2021'!$B$41</f>
        <v>34</v>
      </c>
      <c r="F41" s="101">
        <f>'[2]FINANCIAL POSITION_2021'!$C$41</f>
        <v>29</v>
      </c>
    </row>
    <row r="42" spans="1:6">
      <c r="A42" s="6" t="s">
        <v>120</v>
      </c>
      <c r="B42" s="55">
        <v>3897</v>
      </c>
      <c r="C42" s="17">
        <v>3351</v>
      </c>
      <c r="D42" s="79">
        <f>'[1]FINANCIAL POSITION_2324'!$C$43</f>
        <v>3356</v>
      </c>
      <c r="E42" s="65" t="str">
        <f>'[2]FINANCIAL POSITION_2021'!$B$42</f>
        <v>2 230</v>
      </c>
      <c r="F42" s="101" t="str">
        <f>'[2]FINANCIAL POSITION_2021'!$C$42</f>
        <v>2 940</v>
      </c>
    </row>
    <row r="43" spans="1:6">
      <c r="A43" s="6" t="s">
        <v>115</v>
      </c>
      <c r="B43" s="55">
        <v>355</v>
      </c>
      <c r="C43" s="17">
        <v>282</v>
      </c>
      <c r="D43" s="79">
        <f>'[1]FINANCIAL POSITION_2324'!$C$44</f>
        <v>222</v>
      </c>
      <c r="E43" s="65">
        <f>'[2]FINANCIAL POSITION_2021'!$B$43</f>
        <v>101</v>
      </c>
      <c r="F43" s="101">
        <f>'[2]FINANCIAL POSITION_2021'!$C$43</f>
        <v>185</v>
      </c>
    </row>
    <row r="44" spans="1:6">
      <c r="A44" s="6" t="s">
        <v>117</v>
      </c>
      <c r="B44" s="55">
        <v>22</v>
      </c>
      <c r="C44" s="17">
        <v>22</v>
      </c>
      <c r="D44" s="79">
        <f>'[1]FINANCIAL POSITION_2324'!$C$45</f>
        <v>14</v>
      </c>
      <c r="E44" s="65">
        <f>'[2]FINANCIAL POSITION_2021'!$B$44</f>
        <v>0</v>
      </c>
      <c r="F44" s="101">
        <f>'[2]FINANCIAL POSITION_2021'!$C$44</f>
        <v>49</v>
      </c>
    </row>
    <row r="45" spans="1:6">
      <c r="A45" s="6" t="s">
        <v>121</v>
      </c>
      <c r="B45" s="55">
        <v>77</v>
      </c>
      <c r="C45" s="17">
        <v>214</v>
      </c>
      <c r="D45" s="79">
        <f>'[1]FINANCIAL POSITION_2324'!$C$46</f>
        <v>348</v>
      </c>
      <c r="E45" s="65">
        <v>0</v>
      </c>
      <c r="F45" s="101">
        <v>0</v>
      </c>
    </row>
    <row r="46" spans="1:6" ht="15.75" thickBot="1">
      <c r="A46" s="6" t="s">
        <v>122</v>
      </c>
      <c r="B46" s="54">
        <v>1012</v>
      </c>
      <c r="C46" s="31">
        <v>974</v>
      </c>
      <c r="D46" s="80">
        <f>'[1]FINANCIAL POSITION_2324'!$C$47</f>
        <v>787</v>
      </c>
      <c r="E46" s="66" t="str">
        <f>'[2]FINANCIAL POSITION_2021'!$B$46</f>
        <v>1 412</v>
      </c>
      <c r="F46" s="102">
        <f>'[2]FINANCIAL POSITION_2021'!$C$46</f>
        <v>861</v>
      </c>
    </row>
    <row r="47" spans="1:6" ht="15.75" thickBot="1">
      <c r="A47" s="72" t="s">
        <v>136</v>
      </c>
      <c r="B47" s="57">
        <v>0</v>
      </c>
      <c r="C47" s="25">
        <v>0</v>
      </c>
      <c r="D47" s="77">
        <v>0</v>
      </c>
      <c r="E47" s="63">
        <f>'[2]FINANCIAL POSITION_2021'!$B$45</f>
        <v>1</v>
      </c>
      <c r="F47" s="101">
        <f>'[2]FINANCIAL POSITION_2021'!$C$45</f>
        <v>17</v>
      </c>
    </row>
    <row r="48" spans="1:6" ht="15.75" thickBot="1">
      <c r="A48" s="73" t="s">
        <v>123</v>
      </c>
      <c r="B48" s="85">
        <v>31960</v>
      </c>
      <c r="C48" s="89">
        <v>26166</v>
      </c>
      <c r="D48" s="87">
        <f>'[1]FINANCIAL POSITION_2324'!$C$49</f>
        <v>26447</v>
      </c>
      <c r="E48" s="88" t="str">
        <f>'[2]FINANCIAL POSITION_2021'!$B$48</f>
        <v>25 619</v>
      </c>
      <c r="F48" s="103" t="str">
        <f>'[2]FINANCIAL POSITION_2021'!$C$48</f>
        <v>30 485</v>
      </c>
    </row>
    <row r="49" spans="1:6" ht="15.75" thickBot="1">
      <c r="A49" s="74" t="s">
        <v>124</v>
      </c>
      <c r="B49" s="85">
        <v>103210</v>
      </c>
      <c r="C49" s="86">
        <v>94716</v>
      </c>
      <c r="D49" s="87">
        <f>'[1]FINANCIAL POSITION_2324'!$C$50</f>
        <v>92854</v>
      </c>
      <c r="E49" s="88" t="str">
        <f>'[2]FINANCIAL POSITION_2021'!$B$49</f>
        <v>75 717</v>
      </c>
      <c r="F49" s="103" t="str">
        <f>'[2]FINANCIAL POSITION_2021'!$C$49</f>
        <v>78 606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AAFB4-B488-41C9-B3D9-76500F6A746B}">
  <dimension ref="B2:G49"/>
  <sheetViews>
    <sheetView topLeftCell="B35" workbookViewId="0">
      <selection activeCell="H48" sqref="H48"/>
    </sheetView>
  </sheetViews>
  <sheetFormatPr defaultRowHeight="14.25"/>
  <cols>
    <col min="1" max="1" width="3.75" customWidth="1"/>
    <col min="2" max="2" width="51.25" customWidth="1"/>
    <col min="3" max="4" width="14.75" customWidth="1"/>
    <col min="5" max="5" width="12.125" customWidth="1"/>
    <col min="6" max="6" width="11.25" customWidth="1"/>
    <col min="7" max="7" width="10.25" customWidth="1"/>
  </cols>
  <sheetData>
    <row r="2" spans="2:7" ht="23.25">
      <c r="B2" s="104" t="s">
        <v>125</v>
      </c>
    </row>
    <row r="3" spans="2:7" ht="18" customHeight="1">
      <c r="B3" s="104"/>
      <c r="C3" s="41">
        <v>2025</v>
      </c>
      <c r="D3" s="41">
        <v>2024</v>
      </c>
      <c r="E3" s="41">
        <v>2023</v>
      </c>
      <c r="F3" s="41">
        <v>2022</v>
      </c>
      <c r="G3" s="41">
        <v>2021</v>
      </c>
    </row>
    <row r="4" spans="2:7" ht="16.5" customHeight="1" thickBot="1">
      <c r="B4" s="105"/>
      <c r="C4" s="106" t="s">
        <v>126</v>
      </c>
      <c r="D4" s="106" t="s">
        <v>126</v>
      </c>
      <c r="E4" s="106" t="s">
        <v>126</v>
      </c>
      <c r="F4" s="106" t="s">
        <v>126</v>
      </c>
      <c r="G4" s="106" t="s">
        <v>126</v>
      </c>
    </row>
    <row r="5" spans="2:7" ht="16.5" thickBot="1">
      <c r="B5" s="1" t="s">
        <v>0</v>
      </c>
      <c r="C5" s="129" t="s">
        <v>1</v>
      </c>
      <c r="D5" s="137" t="s">
        <v>2</v>
      </c>
      <c r="E5" s="112">
        <f>'[1]CASH FLOW_2324'!$C$6</f>
        <v>11129</v>
      </c>
      <c r="F5" s="111" t="str">
        <f>'[2]CASH FLOW_2021'!$B$4</f>
        <v>8 432</v>
      </c>
      <c r="G5" s="122" t="str">
        <f>'[2]CASH FLOW_2021'!$C$4</f>
        <v>5 493</v>
      </c>
    </row>
    <row r="6" spans="2:7" ht="15.75">
      <c r="B6" s="2" t="s">
        <v>3</v>
      </c>
      <c r="C6" s="130" t="s">
        <v>4</v>
      </c>
      <c r="D6" s="138" t="s">
        <v>5</v>
      </c>
      <c r="E6" s="113">
        <f>'[1]CASH FLOW_2324'!$C$7</f>
        <v>13307</v>
      </c>
      <c r="F6" s="29" t="str">
        <f>'[2]CASH FLOW_2021'!$B$5</f>
        <v>10 552</v>
      </c>
      <c r="G6" s="123" t="str">
        <f>'[2]CASH FLOW_2021'!$C$5</f>
        <v>7 770</v>
      </c>
    </row>
    <row r="7" spans="2:7" ht="15.75">
      <c r="B7" s="2" t="s">
        <v>165</v>
      </c>
      <c r="C7" s="130">
        <v>0</v>
      </c>
      <c r="D7" s="138">
        <v>0</v>
      </c>
      <c r="E7" s="113">
        <v>0</v>
      </c>
      <c r="F7" s="29">
        <v>0</v>
      </c>
      <c r="G7" s="123">
        <f>'[2]CASH FLOW_2021'!$C$6</f>
        <v>-198</v>
      </c>
    </row>
    <row r="8" spans="2:7" ht="15.75">
      <c r="B8" s="2" t="s">
        <v>6</v>
      </c>
      <c r="C8" s="130" t="s">
        <v>7</v>
      </c>
      <c r="D8" s="138" t="s">
        <v>8</v>
      </c>
      <c r="E8" s="113">
        <f>'[1]CASH FLOW_2324'!$C$8</f>
        <v>1525</v>
      </c>
      <c r="F8" s="29">
        <f>'[2]CASH FLOW_2021'!$B$8</f>
        <v>217</v>
      </c>
      <c r="G8" s="123">
        <f>'[2]CASH FLOW_2021'!$C$8</f>
        <v>192</v>
      </c>
    </row>
    <row r="9" spans="2:7" ht="15.75">
      <c r="B9" s="2" t="s">
        <v>9</v>
      </c>
      <c r="C9" s="130" t="s">
        <v>10</v>
      </c>
      <c r="D9" s="138" t="s">
        <v>11</v>
      </c>
      <c r="E9" s="113">
        <f>'[1]CASH FLOW_2324'!$C$9</f>
        <v>-1100</v>
      </c>
      <c r="F9" s="29" t="str">
        <f>'[2]CASH FLOW_2021'!$B$7</f>
        <v>(1 017)</v>
      </c>
      <c r="G9" s="123" t="str">
        <f>'[2]CASH FLOW_2021'!$C$7</f>
        <v>(1 305)</v>
      </c>
    </row>
    <row r="10" spans="2:7" ht="16.5" thickBot="1">
      <c r="B10" s="2" t="s">
        <v>12</v>
      </c>
      <c r="C10" s="131" t="s">
        <v>13</v>
      </c>
      <c r="D10" s="139" t="s">
        <v>14</v>
      </c>
      <c r="E10" s="114">
        <f>'[1]CASH FLOW_2324'!$C$10</f>
        <v>-2603</v>
      </c>
      <c r="F10" s="32" t="str">
        <f>'[2]CASH FLOW_2021'!$B$9</f>
        <v>(1 320)</v>
      </c>
      <c r="G10" s="124">
        <f>'[2]CASH FLOW_2021'!$C$9</f>
        <v>-966</v>
      </c>
    </row>
    <row r="11" spans="2:7" ht="16.5" thickBot="1">
      <c r="B11" s="1" t="s">
        <v>15</v>
      </c>
      <c r="C11" s="132" t="s">
        <v>16</v>
      </c>
      <c r="D11" s="140" t="s">
        <v>17</v>
      </c>
      <c r="E11" s="115">
        <f>'[1]CASH FLOW_2324'!$C$11</f>
        <v>2045</v>
      </c>
      <c r="F11" s="109" t="str">
        <f>'[2]CASH FLOW_2021'!$B$10</f>
        <v>13 419</v>
      </c>
      <c r="G11" s="125" t="str">
        <f>'[2]CASH FLOW_2021'!$C$10</f>
        <v>(1 556)</v>
      </c>
    </row>
    <row r="12" spans="2:7" ht="15.75">
      <c r="B12" s="2" t="s">
        <v>18</v>
      </c>
      <c r="C12" s="133" t="s">
        <v>19</v>
      </c>
      <c r="D12" s="141" t="s">
        <v>20</v>
      </c>
      <c r="E12" s="116">
        <f>'[1]CASH FLOW_2324'!$C$12</f>
        <v>-2699</v>
      </c>
      <c r="F12" s="28" t="str">
        <f>'[2]CASH FLOW_2021'!$B$11</f>
        <v>(2 471)</v>
      </c>
      <c r="G12" s="126" t="str">
        <f>'[2]CASH FLOW_2021'!$C$11</f>
        <v>(3 175)</v>
      </c>
    </row>
    <row r="13" spans="2:7" ht="15.75">
      <c r="B13" s="2" t="s">
        <v>21</v>
      </c>
      <c r="C13" s="134">
        <v>-33</v>
      </c>
      <c r="D13" s="142">
        <v>-27</v>
      </c>
      <c r="E13" s="113">
        <f>'[1]CASH FLOW_2324'!$C$13</f>
        <v>0</v>
      </c>
      <c r="F13" s="29">
        <f>'[2]CASH FLOW_2021'!$B$12</f>
        <v>0</v>
      </c>
      <c r="G13" s="123">
        <f>'[2]CASH FLOW_2021'!$C$12</f>
        <v>-2</v>
      </c>
    </row>
    <row r="14" spans="2:7" ht="15.75">
      <c r="B14" s="2" t="s">
        <v>22</v>
      </c>
      <c r="C14" s="134">
        <v>1</v>
      </c>
      <c r="D14" s="143">
        <v>0</v>
      </c>
      <c r="E14" s="113">
        <f>'[1]CASH FLOW_2324'!$C$14</f>
        <v>5</v>
      </c>
      <c r="F14" s="29">
        <f>'[2]CASH FLOW_2021'!$B$13</f>
        <v>11</v>
      </c>
      <c r="G14" s="123">
        <f>'[2]CASH FLOW_2021'!$C$13</f>
        <v>34</v>
      </c>
    </row>
    <row r="15" spans="2:7" ht="15.75">
      <c r="B15" s="2" t="s">
        <v>23</v>
      </c>
      <c r="C15" s="134">
        <v>141</v>
      </c>
      <c r="D15" s="142">
        <v>111</v>
      </c>
      <c r="E15" s="113">
        <f>'[1]CASH FLOW_2324'!$C$15</f>
        <v>196</v>
      </c>
      <c r="F15" s="29">
        <f>'[2]CASH FLOW_2021'!$B$14</f>
        <v>72</v>
      </c>
      <c r="G15" s="123">
        <f>'[2]CASH FLOW_2021'!$C$14</f>
        <v>79</v>
      </c>
    </row>
    <row r="16" spans="2:7" ht="15.75">
      <c r="B16" s="2" t="s">
        <v>24</v>
      </c>
      <c r="C16" s="134">
        <v>-76</v>
      </c>
      <c r="D16" s="142">
        <v>-130</v>
      </c>
      <c r="E16" s="113">
        <f>'[1]CASH FLOW_2324'!$C$16</f>
        <v>-171</v>
      </c>
      <c r="F16" s="29">
        <f>'[2]CASH FLOW_2021'!$B$15</f>
        <v>-101</v>
      </c>
      <c r="G16" s="123">
        <f>'[2]CASH FLOW_2021'!$C$15</f>
        <v>-41</v>
      </c>
    </row>
    <row r="17" spans="2:7" ht="15.75">
      <c r="B17" s="2" t="s">
        <v>25</v>
      </c>
      <c r="C17" s="134">
        <v>117</v>
      </c>
      <c r="D17" s="142">
        <v>84</v>
      </c>
      <c r="E17" s="113">
        <f>'[1]CASH FLOW_2324'!$C$17</f>
        <v>108</v>
      </c>
      <c r="F17" s="29">
        <f>'[2]CASH FLOW_2021'!$B$16</f>
        <v>61</v>
      </c>
      <c r="G17" s="123">
        <f>'[2]CASH FLOW_2021'!$C$16</f>
        <v>61</v>
      </c>
    </row>
    <row r="18" spans="2:7" ht="15.75">
      <c r="B18" s="2" t="s">
        <v>26</v>
      </c>
      <c r="C18" s="134">
        <v>-57</v>
      </c>
      <c r="D18" s="142">
        <v>-33</v>
      </c>
      <c r="E18" s="113">
        <f>'[1]CASH FLOW_2324'!$C$18</f>
        <v>0</v>
      </c>
      <c r="F18" s="29">
        <v>0</v>
      </c>
      <c r="G18" s="123">
        <v>0</v>
      </c>
    </row>
    <row r="19" spans="2:7" ht="15.75">
      <c r="B19" s="2" t="s">
        <v>162</v>
      </c>
      <c r="C19" s="134">
        <f>'[1]CASH FLOW_2324'!$B$19</f>
        <v>0</v>
      </c>
      <c r="D19" s="142">
        <v>0</v>
      </c>
      <c r="E19" s="113">
        <f>'[1]CASH FLOW_2324'!$C$19</f>
        <v>56</v>
      </c>
      <c r="F19" s="29">
        <f>'[2]CASH FLOW_2021'!$B$17</f>
        <v>0</v>
      </c>
      <c r="G19" s="123">
        <f>'[2]CASH FLOW_2021'!$C$17</f>
        <v>-349</v>
      </c>
    </row>
    <row r="20" spans="2:7" ht="15">
      <c r="B20" t="s">
        <v>166</v>
      </c>
      <c r="C20" s="134">
        <v>0</v>
      </c>
      <c r="D20" s="142">
        <v>0</v>
      </c>
      <c r="E20" s="113">
        <v>0</v>
      </c>
      <c r="F20" s="29">
        <f>'[2]CASH FLOW_2021'!$B$20</f>
        <v>0</v>
      </c>
      <c r="G20" s="123">
        <f>'[2]CASH FLOW_2021'!$C$20</f>
        <v>-14</v>
      </c>
    </row>
    <row r="21" spans="2:7" ht="15">
      <c r="B21" t="s">
        <v>167</v>
      </c>
      <c r="C21" s="134">
        <v>0</v>
      </c>
      <c r="D21" s="142">
        <v>0</v>
      </c>
      <c r="E21" s="113">
        <v>0</v>
      </c>
      <c r="F21" s="29">
        <f>'[2]CASH FLOW_2021'!$B$22</f>
        <v>0</v>
      </c>
      <c r="G21" s="123" t="str">
        <f>'[2]CASH FLOW_2021'!$C$22</f>
        <v>(1 402)</v>
      </c>
    </row>
    <row r="22" spans="2:7" ht="15">
      <c r="B22" t="s">
        <v>168</v>
      </c>
      <c r="C22" s="134">
        <v>0</v>
      </c>
      <c r="D22" s="142">
        <v>0</v>
      </c>
      <c r="E22" s="113">
        <v>0</v>
      </c>
      <c r="F22" s="29" t="str">
        <f>'[2]CASH FLOW_2021'!$B$24</f>
        <v>5 763</v>
      </c>
      <c r="G22" s="123">
        <f>'[2]CASH FLOW_2021'!$C$24</f>
        <v>0</v>
      </c>
    </row>
    <row r="23" spans="2:7" ht="15.75">
      <c r="B23" s="2" t="s">
        <v>27</v>
      </c>
      <c r="C23" s="134">
        <v>-360</v>
      </c>
      <c r="D23" s="142">
        <v>-360</v>
      </c>
      <c r="E23" s="113">
        <f>'[1]CASH FLOW_2324'!$C$20</f>
        <v>-360</v>
      </c>
      <c r="F23" s="29">
        <f>'[2]CASH FLOW_2021'!$B$18</f>
        <v>3</v>
      </c>
      <c r="G23" s="123">
        <f>'[2]CASH FLOW_2021'!$C$18</f>
        <v>13</v>
      </c>
    </row>
    <row r="24" spans="2:7" ht="15.75">
      <c r="B24" s="2" t="s">
        <v>28</v>
      </c>
      <c r="C24" s="134">
        <v>16</v>
      </c>
      <c r="D24" s="142">
        <v>16</v>
      </c>
      <c r="E24" s="113">
        <f>'[1]CASH FLOW_2324'!$C$21</f>
        <v>16</v>
      </c>
      <c r="F24" s="29">
        <f>'[2]CASH FLOW_2021'!$B$19</f>
        <v>15</v>
      </c>
      <c r="G24" s="123">
        <f>'[2]CASH FLOW_2021'!$C$19</f>
        <v>15</v>
      </c>
    </row>
    <row r="25" spans="2:7" ht="15.75">
      <c r="B25" s="2" t="s">
        <v>163</v>
      </c>
      <c r="C25" s="134">
        <v>0</v>
      </c>
      <c r="D25" s="142">
        <v>0</v>
      </c>
      <c r="E25" s="113">
        <f>'[1]CASH FLOW_2324'!$C$22</f>
        <v>-19</v>
      </c>
      <c r="F25" s="29">
        <f>'[2]CASH FLOW_2021'!$B$25</f>
        <v>-79</v>
      </c>
      <c r="G25" s="123">
        <f>'[2]CASH FLOW_2021'!$C$25</f>
        <v>-111</v>
      </c>
    </row>
    <row r="26" spans="2:7" ht="15.75">
      <c r="B26" s="2" t="s">
        <v>164</v>
      </c>
      <c r="C26" s="134">
        <v>0</v>
      </c>
      <c r="D26" s="142">
        <v>0</v>
      </c>
      <c r="E26" s="113">
        <f>'[1]CASH FLOW_2324'!$C$23</f>
        <v>4911</v>
      </c>
      <c r="F26" s="29" t="str">
        <f>'[2]CASH FLOW_2021'!$B$23</f>
        <v>9 991</v>
      </c>
      <c r="G26" s="123" t="str">
        <f>'[2]CASH FLOW_2021'!$C$23</f>
        <v>3 263</v>
      </c>
    </row>
    <row r="27" spans="2:7" ht="18">
      <c r="B27" s="2" t="s">
        <v>60</v>
      </c>
      <c r="C27" s="134">
        <v>116</v>
      </c>
      <c r="D27" s="143">
        <v>0</v>
      </c>
      <c r="E27" s="113">
        <v>0</v>
      </c>
      <c r="F27" s="29">
        <f>'[2]CASH FLOW_2021'!$B$21</f>
        <v>99</v>
      </c>
      <c r="G27" s="123">
        <f>'[2]CASH FLOW_2021'!$C$21</f>
        <v>0</v>
      </c>
    </row>
    <row r="28" spans="2:7" ht="16.5" thickBot="1">
      <c r="B28" s="2" t="s">
        <v>29</v>
      </c>
      <c r="C28" s="131" t="s">
        <v>30</v>
      </c>
      <c r="D28" s="139" t="s">
        <v>31</v>
      </c>
      <c r="E28" s="114">
        <f>'[1]CASH FLOW_2324'!$C$23</f>
        <v>4911</v>
      </c>
      <c r="F28" s="32">
        <f>'[2]CASH FLOW_2021'!$B$26</f>
        <v>55</v>
      </c>
      <c r="G28" s="124">
        <f>'[2]CASH FLOW_2021'!$C$26</f>
        <v>73</v>
      </c>
    </row>
    <row r="29" spans="2:7" ht="16.5" thickBot="1">
      <c r="B29" s="1" t="s">
        <v>32</v>
      </c>
      <c r="C29" s="132" t="s">
        <v>33</v>
      </c>
      <c r="D29" s="140" t="s">
        <v>34</v>
      </c>
      <c r="E29" s="115">
        <f>'[1]CASH FLOW_2324'!$C$25</f>
        <v>-8228</v>
      </c>
      <c r="F29" s="109" t="str">
        <f>'[2]CASH FLOW_2021'!$B$27</f>
        <v>(18 032)</v>
      </c>
      <c r="G29" s="125" t="str">
        <f>'[2]CASH FLOW_2021'!$C$27</f>
        <v>(2 469)</v>
      </c>
    </row>
    <row r="30" spans="2:7" ht="15.75">
      <c r="B30" s="2" t="s">
        <v>35</v>
      </c>
      <c r="C30" s="133" t="s">
        <v>36</v>
      </c>
      <c r="D30" s="144">
        <v>705</v>
      </c>
      <c r="E30" s="116">
        <f>'[1]CASH FLOW_2324'!$C$26</f>
        <v>489</v>
      </c>
      <c r="F30" s="28" t="str">
        <f>'[2]CASH FLOW_2021'!$B$28</f>
        <v>4 725</v>
      </c>
      <c r="G30" s="126" t="str">
        <f>'[2]CASH FLOW_2021'!$C$28</f>
        <v>1 750</v>
      </c>
    </row>
    <row r="31" spans="2:7" ht="15.75">
      <c r="B31" s="2" t="s">
        <v>37</v>
      </c>
      <c r="C31" s="130" t="s">
        <v>38</v>
      </c>
      <c r="D31" s="138" t="s">
        <v>39</v>
      </c>
      <c r="E31" s="113">
        <f>'[1]CASH FLOW_2324'!$C$27</f>
        <v>-658</v>
      </c>
      <c r="F31" s="29" t="str">
        <f>'[2]CASH FLOW_2021'!$B$29</f>
        <v>(8 076)</v>
      </c>
      <c r="G31" s="123">
        <f>'[2]CASH FLOW_2021'!$C$29</f>
        <v>-88</v>
      </c>
    </row>
    <row r="32" spans="2:7" ht="15.75">
      <c r="B32" s="2" t="s">
        <v>40</v>
      </c>
      <c r="C32" s="134">
        <v>-57</v>
      </c>
      <c r="D32" s="143">
        <v>0</v>
      </c>
      <c r="E32" s="113">
        <f>'[1]CASH FLOW_2324'!$C$28</f>
        <v>-13</v>
      </c>
      <c r="F32" s="29">
        <v>0</v>
      </c>
      <c r="G32" s="123">
        <v>0</v>
      </c>
    </row>
    <row r="33" spans="2:7" ht="18">
      <c r="B33" s="2" t="s">
        <v>61</v>
      </c>
      <c r="C33" s="134">
        <v>-180</v>
      </c>
      <c r="D33" s="143">
        <v>0</v>
      </c>
      <c r="E33" s="113">
        <v>0</v>
      </c>
      <c r="F33" s="29">
        <v>0</v>
      </c>
      <c r="G33" s="123">
        <v>0</v>
      </c>
    </row>
    <row r="34" spans="2:7" ht="15">
      <c r="B34" t="s">
        <v>169</v>
      </c>
      <c r="C34" s="134">
        <v>0</v>
      </c>
      <c r="D34" s="143">
        <v>0</v>
      </c>
      <c r="E34" s="113">
        <v>0</v>
      </c>
      <c r="F34" s="29">
        <f>'[2]CASH FLOW_2021'!$B$31</f>
        <v>0</v>
      </c>
      <c r="G34" s="123">
        <f>'[2]CASH FLOW_2021'!$C$31</f>
        <v>115</v>
      </c>
    </row>
    <row r="35" spans="2:7" ht="15">
      <c r="B35" t="s">
        <v>170</v>
      </c>
      <c r="C35" s="134">
        <v>0</v>
      </c>
      <c r="D35" s="143">
        <v>0</v>
      </c>
      <c r="E35" s="113">
        <v>0</v>
      </c>
      <c r="F35" s="29">
        <f>'[2]CASH FLOW_2021'!$B$32</f>
        <v>-7</v>
      </c>
      <c r="G35" s="123">
        <f>'[2]CASH FLOW_2021'!$C$32</f>
        <v>-1</v>
      </c>
    </row>
    <row r="36" spans="2:7" ht="15">
      <c r="B36" t="s">
        <v>171</v>
      </c>
      <c r="C36" s="134">
        <v>0</v>
      </c>
      <c r="D36" s="143">
        <v>0</v>
      </c>
      <c r="E36" s="113">
        <v>0</v>
      </c>
      <c r="F36" s="29">
        <f>'[2]CASH FLOW_2021'!$B$34</f>
        <v>0</v>
      </c>
      <c r="G36" s="123">
        <f>'[2]CASH FLOW_2021'!$C$34</f>
        <v>69</v>
      </c>
    </row>
    <row r="37" spans="2:7" ht="15">
      <c r="B37" t="s">
        <v>172</v>
      </c>
      <c r="C37" s="134">
        <v>0</v>
      </c>
      <c r="D37" s="143">
        <v>0</v>
      </c>
      <c r="E37" s="113">
        <v>0</v>
      </c>
      <c r="F37" s="29">
        <f>'[2]CASH FLOW_2021'!$B$35</f>
        <v>-69</v>
      </c>
      <c r="G37" s="123">
        <f>'[2]CASH FLOW_2021'!$C$35</f>
        <v>0</v>
      </c>
    </row>
    <row r="38" spans="2:7" ht="15.75">
      <c r="B38" s="2" t="s">
        <v>41</v>
      </c>
      <c r="C38" s="134">
        <v>-62</v>
      </c>
      <c r="D38" s="142">
        <v>-50</v>
      </c>
      <c r="E38" s="113">
        <f>'[1]CASH FLOW_2324'!$C$29</f>
        <v>-41</v>
      </c>
      <c r="F38" s="29">
        <f>'[2]CASH FLOW_2021'!$B$30</f>
        <v>-36</v>
      </c>
      <c r="G38" s="123">
        <f>'[2]CASH FLOW_2021'!$C$30</f>
        <v>-32</v>
      </c>
    </row>
    <row r="39" spans="2:7" ht="15.75">
      <c r="B39" s="2" t="s">
        <v>42</v>
      </c>
      <c r="C39" s="130" t="s">
        <v>43</v>
      </c>
      <c r="D39" s="138" t="s">
        <v>44</v>
      </c>
      <c r="E39" s="113">
        <f>'[1]CASH FLOW_2324'!$C$30</f>
        <v>-5505</v>
      </c>
      <c r="F39" s="29" t="str">
        <f>'[2]CASH FLOW_2021'!$B$36</f>
        <v>(9 557)</v>
      </c>
      <c r="G39" s="123" t="str">
        <f>'[2]CASH FLOW_2021'!$C$36</f>
        <v>(3 034)</v>
      </c>
    </row>
    <row r="40" spans="2:7" ht="15.75">
      <c r="B40" s="2" t="s">
        <v>45</v>
      </c>
      <c r="C40" s="130" t="s">
        <v>46</v>
      </c>
      <c r="D40" s="138" t="s">
        <v>47</v>
      </c>
      <c r="E40" s="113">
        <f>'[1]CASH FLOW_2324'!$C$31</f>
        <v>-1831</v>
      </c>
      <c r="F40" s="29" t="str">
        <f>'[2]CASH FLOW_2021'!$B$39</f>
        <v>(3 119)</v>
      </c>
      <c r="G40" s="123">
        <f>'[2]CASH FLOW_2021'!$C$39</f>
        <v>-978</v>
      </c>
    </row>
    <row r="41" spans="2:7" ht="15.75">
      <c r="B41" s="2" t="s">
        <v>48</v>
      </c>
      <c r="C41" s="134">
        <v>-37</v>
      </c>
      <c r="D41" s="142">
        <v>-42</v>
      </c>
      <c r="E41" s="113">
        <f>'[1]CASH FLOW_2324'!$C$32</f>
        <v>-24</v>
      </c>
      <c r="F41" s="29">
        <f>'[2]CASH FLOW_2021'!$B$33</f>
        <v>-5</v>
      </c>
      <c r="G41" s="123">
        <f>'[2]CASH FLOW_2021'!$C$33</f>
        <v>0</v>
      </c>
    </row>
    <row r="42" spans="2:7" ht="15.75">
      <c r="B42" s="2" t="s">
        <v>49</v>
      </c>
      <c r="C42" s="134">
        <v>-173</v>
      </c>
      <c r="D42" s="142">
        <v>-321</v>
      </c>
      <c r="E42" s="113">
        <f>'[1]CASH FLOW_2324'!$C$33</f>
        <v>-645</v>
      </c>
      <c r="F42" s="29">
        <f>'[2]CASH FLOW_2021'!$B$37</f>
        <v>-382</v>
      </c>
      <c r="G42" s="123">
        <f>'[2]CASH FLOW_2021'!$C$37</f>
        <v>-270</v>
      </c>
    </row>
    <row r="43" spans="2:7" ht="16.5" thickBot="1">
      <c r="B43" s="107" t="s">
        <v>50</v>
      </c>
      <c r="C43" s="131" t="s">
        <v>51</v>
      </c>
      <c r="D43" s="145"/>
      <c r="E43" s="117">
        <v>0</v>
      </c>
      <c r="F43" s="32" t="str">
        <f>'[2]CASH FLOW_2021'!$B$38</f>
        <v>(1 506)</v>
      </c>
      <c r="G43" s="124">
        <f>'[2]CASH FLOW_2021'!$C$38</f>
        <v>0</v>
      </c>
    </row>
    <row r="44" spans="2:7" ht="20.25" customHeight="1" thickBot="1">
      <c r="B44" s="4"/>
      <c r="C44" s="135"/>
      <c r="D44" s="146"/>
      <c r="E44" s="118"/>
      <c r="F44" s="26"/>
      <c r="G44" s="127"/>
    </row>
    <row r="45" spans="2:7" ht="15.75">
      <c r="B45" s="1" t="s">
        <v>52</v>
      </c>
      <c r="C45" s="133" t="s">
        <v>53</v>
      </c>
      <c r="D45" s="144">
        <v>767</v>
      </c>
      <c r="E45" s="119">
        <f>'[1]CASH FLOW_2324'!$C$35</f>
        <v>4946</v>
      </c>
      <c r="F45" s="28" t="str">
        <f>'[2]CASH FLOW_2021'!$B$41</f>
        <v>3 819</v>
      </c>
      <c r="G45" s="126" t="str">
        <f>'[2]CASH FLOW_2021'!$C$41</f>
        <v>1 468</v>
      </c>
    </row>
    <row r="46" spans="2:7" ht="15.75">
      <c r="B46" s="2" t="s">
        <v>54</v>
      </c>
      <c r="C46" s="130" t="s">
        <v>55</v>
      </c>
      <c r="D46" s="138" t="s">
        <v>56</v>
      </c>
      <c r="E46" s="113">
        <f>'[1]CASH FLOW_2324'!$C$36</f>
        <v>14812</v>
      </c>
      <c r="F46" s="29" t="str">
        <f>'[2]CASH FLOW_2021'!$B$42</f>
        <v>3 187</v>
      </c>
      <c r="G46" s="123" t="str">
        <f>'[2]CASH FLOW_2021'!$C$42</f>
        <v>1 719</v>
      </c>
    </row>
    <row r="47" spans="2:7" ht="15.75" customHeight="1" thickBot="1">
      <c r="B47" s="108" t="s">
        <v>57</v>
      </c>
      <c r="C47" s="134">
        <v>-261</v>
      </c>
      <c r="D47" s="142">
        <v>4</v>
      </c>
      <c r="E47" s="120">
        <f>'[1]CASH FLOW_2324'!$C$37</f>
        <v>101</v>
      </c>
      <c r="F47" s="29">
        <f>'[2]CASH FLOW_2021'!$B$43</f>
        <v>35</v>
      </c>
      <c r="G47" s="123">
        <v>0</v>
      </c>
    </row>
    <row r="48" spans="2:7" ht="16.5" thickBot="1">
      <c r="B48" s="3" t="s">
        <v>58</v>
      </c>
      <c r="C48" s="136" t="s">
        <v>59</v>
      </c>
      <c r="D48" s="147" t="s">
        <v>55</v>
      </c>
      <c r="E48" s="121">
        <f>'[1]CASH FLOW_2324'!$C$38</f>
        <v>19859</v>
      </c>
      <c r="F48" s="110" t="str">
        <f>'[2]CASH FLOW_2021'!$B$44</f>
        <v>7 041</v>
      </c>
      <c r="G48" s="128" t="str">
        <f>'[2]CASH FLOW_2021'!$C$44</f>
        <v>3 187</v>
      </c>
    </row>
    <row r="49" ht="1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Financial Position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Cardwell Mathebula</dc:creator>
  <cp:lastModifiedBy>Nkazimulo</cp:lastModifiedBy>
  <dcterms:created xsi:type="dcterms:W3CDTF">2026-03-18T16:33:54Z</dcterms:created>
  <dcterms:modified xsi:type="dcterms:W3CDTF">2026-08-29T21:15:28Z</dcterms:modified>
</cp:coreProperties>
</file>