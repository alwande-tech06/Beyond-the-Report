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0d3057648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c9b4421d4abe4161"/>
    <x:sheet xmlns:r="http://schemas.openxmlformats.org/officeDocument/2006/relationships" name="Financial Position" sheetId="2" r:id="Red79dfe29c534b28"/>
    <x:sheet xmlns:r="http://schemas.openxmlformats.org/officeDocument/2006/relationships" name="Cash Flow Statement" sheetId="3" r:id="Raa3213d75a45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-"/>
    <x:numFmt numFmtId="201" formatCode="#,##0;[Red](#,##0);-"/>
  </x:numFmts>
  <x:fonts count="10">
    <x:font>
      <x:sz val="11"/>
      <x:name val="Carlito"/>
    </x:font>
    <x:font>
      <x:sz val="20"/>
      <x:color rgb="FF9ACD32"/>
      <x:name val="Carlito"/>
    </x:font>
    <x:font>
      <x:b/>
      <x:sz val="10"/>
      <x:name val="Carlito"/>
    </x:font>
    <x:font>
      <x:b/>
      <x:sz val="10"/>
      <x:color rgb="FF527D74"/>
      <x:name val="Carlito"/>
    </x:font>
    <x:font>
      <x:sz val="10"/>
      <x:name val="Carlito"/>
    </x:font>
    <x:font>
      <x:b/>
      <x:sz val="10"/>
      <x:color rgb="FF9ACD32"/>
      <x:name val="Carlito"/>
    </x:font>
    <x:font>
      <x:b/>
      <x:sz val="10"/>
      <x:color rgb="FF007FA3"/>
      <x:name val="Carlito"/>
    </x:font>
    <x:font>
      <x:sz val="9"/>
      <x:color rgb="FF666666"/>
      <x:name val="Carlito"/>
    </x:font>
    <x:font>
      <x:b/>
      <x:sz val="10"/>
      <x:color rgb="FF005B96"/>
      <x:name val="Carlito"/>
    </x:font>
    <x:font>
      <x:sz val="9"/>
      <x:color rgb="FF77777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F1F3"/>
      </x:patternFill>
    </x:fill>
    <x:fill>
      <x:patternFill patternType="solid">
        <x:fgColor rgb="FFD9D9D9"/>
      </x:patternFill>
    </x:fill>
    <x:fill>
      <x:patternFill patternType="solid">
        <x:fgColor rgb="FFE7E7E7"/>
      </x:patternFill>
    </x:fill>
    <x:fill>
      <x:patternFill patternType="solid">
        <x:fgColor rgb="FFDCEBF3"/>
      </x:patternFill>
    </x:fill>
  </x:fills>
  <x:borders count="17">
    <x:border/>
    <x:border/>
    <x:border>
      <x:bottom style="thin">
        <x:color rgb="FF9ACD32"/>
      </x:bottom>
    </x:border>
    <x:border>
      <x:bottom style="thin">
        <x:color rgb="FF9ACD32"/>
      </x:bottom>
    </x:border>
    <x:border>
      <x:top style="thin">
        <x:color rgb="FF000000"/>
      </x:top>
    </x:border>
    <x:border>
      <x:top style="thin">
        <x:color rgb="FF000000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top style="thin">
        <x:color rgb="FF000000"/>
      </x:top>
    </x:border>
    <x:border>
      <x:right style="thin">
        <x:color rgb="FFB7B7B7"/>
      </x:right>
      <x:top style="thin">
        <x:color rgb="FF000000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top style="thin">
        <x:color rgb="FF000000"/>
      </x:top>
    </x:border>
    <x:border>
      <x:right style="thin">
        <x:color rgb="FFB7B7B7"/>
      </x:right>
      <x:top style="thin">
        <x:color rgb="FF000000"/>
      </x:top>
    </x:border>
    <x:border>
      <x:top style="thin">
        <x:color rgb="FF005B96"/>
      </x:top>
    </x:border>
    <x:border>
      <x:top style="thin">
        <x:color rgb="FF777777"/>
      </x:top>
      <x:bottom style="thin">
        <x:color rgb="FF777777"/>
      </x:bottom>
    </x:border>
    <x:border>
      <x:top style="thin">
        <x:color rgb="FF005B96"/>
      </x:top>
      <x:bottom style="thin">
        <x:color rgb="FF005B96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right"/>
    </x:xf>
    <x:xf numFmtId="0" fontId="2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0" fillId="0" borderId="3" xfId="0" applyNumberFormat="1" applyFont="1" applyFill="1" applyBorder="1"/>
    <x:xf numFmtId="0" fontId="3" fillId="0" borderId="3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4" xfId="0" applyNumberFormat="1" applyFont="1" applyFill="1" applyBorder="1" applyAlignment="1">
      <x:alignment horizontal="right"/>
    </x:xf>
    <x:xf numFmtId="200" fontId="3" fillId="0" borderId="5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200" fontId="3" fillId="0" borderId="1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200" fontId="3" fillId="2" borderId="4" xfId="0" applyNumberFormat="1" applyFont="1" applyFill="1" applyBorder="1"/>
    <x:xf numFmtId="200" fontId="3" fillId="2" borderId="5" xfId="0" applyNumberFormat="1" applyFont="1" applyFill="1" applyBorder="1"/>
    <x:xf numFmtId="200" fontId="3" fillId="2" borderId="4" xfId="0" applyNumberFormat="1" applyFont="1" applyFill="1" applyBorder="1" applyAlignment="1">
      <x:alignment horizontal="right"/>
    </x:xf>
    <x:xf numFmtId="200" fontId="3" fillId="2" borderId="5" xfId="0" applyNumberFormat="1" applyFont="1" applyFill="1" applyBorder="1" applyAlignment="1">
      <x:alignment horizontal="right"/>
    </x:xf>
    <x:xf numFmtId="200" fontId="4" fillId="3" borderId="0" xfId="0" applyNumberFormat="1" applyFont="1" applyFill="1" applyBorder="1" applyAlignment="1">
      <x:alignment horizontal="right"/>
    </x:xf>
    <x:xf numFmtId="200" fontId="3" fillId="3" borderId="4" xfId="0" applyNumberFormat="1" applyFont="1" applyFill="1" applyBorder="1" applyAlignment="1">
      <x:alignment horizontal="right"/>
    </x:xf>
    <x:xf numFmtId="200" fontId="3" fillId="3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3" borderId="1" xfId="0" applyNumberFormat="1" applyFont="1" applyFill="1" applyBorder="1" applyAlignment="1">
      <x:alignment horizontal="right"/>
    </x:xf>
    <x:xf numFmtId="200" fontId="3" fillId="3" borderId="5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horizontal="right" wrapText="1"/>
    </x:xf>
    <x:xf numFmtId="200" fontId="4" fillId="0" borderId="0" xfId="0" applyNumberFormat="1" applyFont="1" applyFill="1" applyBorder="1" applyAlignment="1">
      <x:alignment horizontal="right" wrapText="1"/>
    </x:xf>
    <x:xf numFmtId="0" fontId="3" fillId="0" borderId="4" xfId="0" applyNumberFormat="1" applyFont="1" applyFill="1" applyBorder="1" applyAlignment="1">
      <x:alignment wrapText="1"/>
    </x:xf>
    <x:xf numFmtId="200" fontId="3" fillId="3" borderId="4" xfId="0" applyNumberFormat="1" applyFont="1" applyFill="1" applyBorder="1" applyAlignment="1">
      <x:alignment horizontal="right" wrapText="1"/>
    </x:xf>
    <x:xf numFmtId="200" fontId="3" fillId="0" borderId="4" xfId="0" applyNumberFormat="1" applyFont="1" applyFill="1" applyBorder="1" applyAlignment="1">
      <x:alignment horizontal="right" wrapText="1"/>
    </x:xf>
    <x:xf numFmtId="0" fontId="3" fillId="2" borderId="4" xfId="0" applyNumberFormat="1" applyFont="1" applyFill="1" applyBorder="1" applyAlignment="1">
      <x:alignment wrapText="1"/>
    </x:xf>
    <x:xf numFmtId="200" fontId="3" fillId="2" borderId="4" xfId="0" applyNumberFormat="1" applyFont="1" applyFill="1" applyBorder="1" applyAlignment="1">
      <x:alignment horizontal="right" wrapText="1"/>
    </x:xf>
    <x:xf numFmtId="0" fontId="3" fillId="0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horizontal="right" wrapText="1"/>
    </x:xf>
    <x:xf numFmtId="200" fontId="3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3" borderId="1" xfId="0" applyNumberFormat="1" applyFont="1" applyFill="1" applyBorder="1" applyAlignment="1">
      <x:alignment horizontal="right" wrapText="1"/>
    </x:xf>
    <x:xf numFmtId="200" fontId="4" fillId="0" borderId="1" xfId="0" applyNumberFormat="1" applyFont="1" applyFill="1" applyBorder="1" applyAlignment="1">
      <x:alignment horizontal="right" wrapText="1"/>
    </x:xf>
    <x:xf numFmtId="0" fontId="3" fillId="0" borderId="5" xfId="0" applyNumberFormat="1" applyFont="1" applyFill="1" applyBorder="1" applyAlignment="1">
      <x:alignment wrapText="1"/>
    </x:xf>
    <x:xf numFmtId="200" fontId="3" fillId="3" borderId="5" xfId="0" applyNumberFormat="1" applyFont="1" applyFill="1" applyBorder="1" applyAlignment="1">
      <x:alignment horizontal="right" wrapText="1"/>
    </x:xf>
    <x:xf numFmtId="200" fontId="3" fillId="0" borderId="5" xfId="0" applyNumberFormat="1" applyFont="1" applyFill="1" applyBorder="1" applyAlignment="1">
      <x:alignment horizontal="right" wrapText="1"/>
    </x:xf>
    <x:xf numFmtId="0" fontId="3" fillId="2" borderId="5" xfId="0" applyNumberFormat="1" applyFont="1" applyFill="1" applyBorder="1" applyAlignment="1">
      <x:alignment wrapText="1"/>
    </x:xf>
    <x:xf numFmtId="200" fontId="3" fillId="2" borderId="5" xfId="0" applyNumberFormat="1" applyFont="1" applyFill="1" applyBorder="1" applyAlignment="1">
      <x:alignment horizontal="right" wrapText="1"/>
    </x:xf>
    <x:xf numFmtId="0" fontId="3" fillId="0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horizontal="right" wrapText="1"/>
    </x:xf>
    <x:xf numFmtId="200" fontId="3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 wrapText="1"/>
    </x:xf>
    <x:xf numFmtId="0" fontId="3" fillId="0" borderId="4" xfId="0" applyNumberFormat="1" applyFont="1" applyFill="1" applyBorder="1" applyAlignment="1">
      <x:alignment horizontal="left" wrapText="1"/>
    </x:xf>
    <x:xf numFmtId="0" fontId="3" fillId="2" borderId="4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wrapText="1"/>
    </x:xf>
    <x:xf numFmtId="0" fontId="3" fillId="0" borderId="5" xfId="0" applyNumberFormat="1" applyFont="1" applyFill="1" applyBorder="1" applyAlignment="1">
      <x:alignment horizontal="left" wrapText="1"/>
    </x:xf>
    <x:xf numFmtId="0" fontId="3" fillId="2" borderId="5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wrapText="1"/>
    </x:xf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200" fontId="4" fillId="3" borderId="6" xfId="0" applyNumberFormat="1" applyFont="1" applyFill="1" applyBorder="1" applyAlignment="1">
      <x:alignment horizontal="right" wrapText="1"/>
    </x:xf>
    <x:xf numFmtId="200" fontId="4" fillId="3" borderId="7" xfId="0" applyNumberFormat="1" applyFont="1" applyFill="1" applyBorder="1" applyAlignment="1">
      <x:alignment horizontal="right" wrapText="1"/>
    </x:xf>
    <x:xf numFmtId="200" fontId="3" fillId="3" borderId="8" xfId="0" applyNumberFormat="1" applyFont="1" applyFill="1" applyBorder="1" applyAlignment="1">
      <x:alignment horizontal="right" wrapText="1"/>
    </x:xf>
    <x:xf numFmtId="200" fontId="3" fillId="3" borderId="9" xfId="0" applyNumberFormat="1" applyFont="1" applyFill="1" applyBorder="1" applyAlignment="1">
      <x:alignment horizontal="right" wrapText="1"/>
    </x:xf>
    <x:xf numFmtId="200" fontId="3" fillId="2" borderId="8" xfId="0" applyNumberFormat="1" applyFont="1" applyFill="1" applyBorder="1" applyAlignment="1">
      <x:alignment horizontal="right" wrapText="1"/>
    </x:xf>
    <x:xf numFmtId="200" fontId="3" fillId="2" borderId="9" xfId="0" applyNumberFormat="1" applyFont="1" applyFill="1" applyBorder="1" applyAlignment="1">
      <x:alignment horizontal="right" wrapText="1"/>
    </x:xf>
    <x:xf numFmtId="200" fontId="3" fillId="3" borderId="6" xfId="0" applyNumberFormat="1" applyFont="1" applyFill="1" applyBorder="1" applyAlignment="1">
      <x:alignment horizontal="right" wrapText="1"/>
    </x:xf>
    <x:xf numFmtId="200" fontId="3" fillId="3" borderId="7" xfId="0" applyNumberFormat="1" applyFont="1" applyFill="1" applyBorder="1" applyAlignment="1">
      <x:alignment horizontal="right"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4" fillId="3" borderId="10" xfId="0" applyNumberFormat="1" applyFont="1" applyFill="1" applyBorder="1" applyAlignment="1">
      <x:alignment horizontal="right" wrapText="1"/>
    </x:xf>
    <x:xf numFmtId="200" fontId="4" fillId="3" borderId="11" xfId="0" applyNumberFormat="1" applyFont="1" applyFill="1" applyBorder="1" applyAlignment="1">
      <x:alignment horizontal="right" wrapText="1"/>
    </x:xf>
    <x:xf numFmtId="200" fontId="3" fillId="3" borderId="12" xfId="0" applyNumberFormat="1" applyFont="1" applyFill="1" applyBorder="1" applyAlignment="1">
      <x:alignment horizontal="right" wrapText="1"/>
    </x:xf>
    <x:xf numFmtId="200" fontId="3" fillId="3" borderId="13" xfId="0" applyNumberFormat="1" applyFont="1" applyFill="1" applyBorder="1" applyAlignment="1">
      <x:alignment horizontal="right" wrapText="1"/>
    </x:xf>
    <x:xf numFmtId="200" fontId="3" fillId="2" borderId="12" xfId="0" applyNumberFormat="1" applyFont="1" applyFill="1" applyBorder="1" applyAlignment="1">
      <x:alignment horizontal="right" wrapText="1"/>
    </x:xf>
    <x:xf numFmtId="200" fontId="3" fillId="2" borderId="13" xfId="0" applyNumberFormat="1" applyFont="1" applyFill="1" applyBorder="1" applyAlignment="1">
      <x:alignment horizontal="right" wrapText="1"/>
    </x:xf>
    <x:xf numFmtId="200" fontId="3" fillId="3" borderId="10" xfId="0" applyNumberFormat="1" applyFont="1" applyFill="1" applyBorder="1" applyAlignment="1">
      <x:alignment horizontal="right" wrapText="1"/>
    </x:xf>
    <x:xf numFmtId="200" fontId="3" fillId="3" borderId="11" xfId="0" applyNumberFormat="1" applyFont="1" applyFill="1" applyBorder="1" applyAlignment="1">
      <x:alignment horizontal="right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4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horizontal="right"/>
    </x:xf>
    <x:xf numFmtId="0" fontId="8" fillId="0" borderId="15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0" fontId="8" fillId="0" borderId="16" xfId="0" applyNumberFormat="1" applyFont="1" applyFill="1" applyBorder="1"/>
    <x:xf numFmtId="201" fontId="8" fillId="0" borderId="16" xfId="0" applyNumberFormat="1" applyFont="1" applyFill="1" applyBorder="1" applyAlignment="1">
      <x:alignment horizontal="right"/>
    </x:xf>
    <x:xf numFmtId="0" fontId="6" fillId="4" borderId="14" xfId="0" applyNumberFormat="1" applyFont="1" applyFill="1" applyBorder="1"/>
    <x:xf numFmtId="201" fontId="7" fillId="4" borderId="0" xfId="0" applyNumberFormat="1" applyFont="1" applyFill="1" applyBorder="1" applyAlignment="1">
      <x:alignment horizontal="right"/>
    </x:xf>
    <x:xf numFmtId="201" fontId="8" fillId="4" borderId="15" xfId="0" applyNumberFormat="1" applyFont="1" applyFill="1" applyBorder="1" applyAlignment="1">
      <x:alignment horizontal="right"/>
    </x:xf>
    <x:xf numFmtId="201" fontId="9" fillId="4" borderId="0" xfId="0" applyNumberFormat="1" applyFont="1" applyFill="1" applyBorder="1" applyAlignment="1">
      <x:alignment horizontal="right"/>
    </x:xf>
    <x:xf numFmtId="201" fontId="8" fillId="4" borderId="16" xfId="0" applyNumberFormat="1" applyFont="1" applyFill="1" applyBorder="1" applyAlignment="1">
      <x:alignment horizontal="right"/>
    </x:xf>
    <x:xf numFmtId="0" fontId="6" fillId="5" borderId="14" xfId="0" applyNumberFormat="1" applyFont="1" applyFill="1" applyBorder="1"/>
    <x:xf numFmtId="201" fontId="7" fillId="5" borderId="0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9" fillId="5" borderId="0" xfId="0" applyNumberFormat="1" applyFont="1" applyFill="1" applyBorder="1" applyAlignment="1">
      <x:alignment horizontal="right"/>
    </x:xf>
    <x:xf numFmtId="201" fontId="8" fillId="5" borderId="16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right" vertical="center" wrapText="1"/>
    </x:xf>
    <x:xf numFmtId="0" fontId="6" fillId="0" borderId="14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1" fontId="7" fillId="4" borderId="0" xfId="0" applyNumberFormat="1" applyFont="1" applyFill="1" applyBorder="1" applyAlignment="1">
      <x:alignment horizontal="right" wrapText="1"/>
    </x:xf>
    <x:xf numFmtId="201" fontId="7" fillId="5" borderId="0" xfId="0" applyNumberFormat="1" applyFont="1" applyFill="1" applyBorder="1" applyAlignment="1">
      <x:alignment horizontal="right" wrapText="1"/>
    </x:xf>
    <x:xf numFmtId="0" fontId="8" fillId="0" borderId="15" xfId="0" applyNumberFormat="1" applyFont="1" applyFill="1" applyBorder="1" applyAlignment="1">
      <x:alignment wrapText="1"/>
    </x:xf>
    <x:xf numFmtId="201" fontId="8" fillId="4" borderId="15" xfId="0" applyNumberFormat="1" applyFont="1" applyFill="1" applyBorder="1" applyAlignment="1">
      <x:alignment horizontal="right" wrapText="1"/>
    </x:xf>
    <x:xf numFmtId="201" fontId="8" fillId="5" borderId="15" xfId="0" applyNumberFormat="1" applyFont="1" applyFill="1" applyBorder="1" applyAlignment="1">
      <x:alignment horizontal="right" wrapText="1"/>
    </x:xf>
    <x:xf numFmtId="0" fontId="9" fillId="0" borderId="0" xfId="0" applyNumberFormat="1" applyFont="1" applyFill="1" applyBorder="1" applyAlignment="1">
      <x:alignment wrapText="1"/>
    </x:xf>
    <x:xf numFmtId="201" fontId="9" fillId="4" borderId="0" xfId="0" applyNumberFormat="1" applyFont="1" applyFill="1" applyBorder="1" applyAlignment="1">
      <x:alignment horizontal="right" wrapText="1"/>
    </x:xf>
    <x:xf numFmtId="201" fontId="9" fillId="5" borderId="0" xfId="0" applyNumberFormat="1" applyFont="1" applyFill="1" applyBorder="1" applyAlignment="1">
      <x:alignment horizontal="right" wrapText="1"/>
    </x:xf>
    <x:xf numFmtId="0" fontId="6" fillId="0" borderId="14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0" fontId="8" fillId="0" borderId="15" xfId="0" applyNumberFormat="1" applyFont="1" applyFill="1" applyBorder="1" applyAlignment="1">
      <x:alignment horizontal="left" wrapText="1"/>
    </x:xf>
    <x:xf numFmtId="0" fontId="9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6f81248194923" /><Relationship Type="http://schemas.openxmlformats.org/officeDocument/2006/relationships/theme" Target="/xl/theme/theme1.xml" Id="R61ee9c1bf971472e" /><Relationship Type="http://schemas.openxmlformats.org/officeDocument/2006/relationships/sharedStrings" Target="/xl/sharedStrings.xml" Id="R532adb16fee54572" /><Relationship Type="http://schemas.openxmlformats.org/officeDocument/2006/relationships/worksheet" Target="/xl/worksheets/sheet1.xml" Id="Rc9b4421d4abe4161" /><Relationship Type="http://schemas.openxmlformats.org/officeDocument/2006/relationships/worksheet" Target="/xl/worksheets/sheet2.xml" Id="Red79dfe29c534b28" /><Relationship Type="http://schemas.openxmlformats.org/officeDocument/2006/relationships/worksheet" Target="/xl/worksheets/sheet3.xml" Id="Raa3213d75a45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statement of profit or loss and other comprehensive income For the year ended 30 June</x:v>
      </x:c>
      <x:c r="B1" s="5"/>
      <x:c r="C1" s="5"/>
      <x:c r="D1" s="5"/>
      <x:c r="E1" s="5"/>
      <x:c r="F1" s="5"/>
    </x:row>
    <x:row r="2">
      <x:c r="B2" s="16" t="n">
        <x:v>2025</x:v>
      </x:c>
      <x:c r="C2" s="12" t="n">
        <x:v>2024</x:v>
      </x:c>
      <x:c r="D2" s="12" t="n">
        <x:v>2023</x:v>
      </x:c>
      <x:c r="E2" s="12" t="n">
        <x:v>2022</x:v>
      </x:c>
      <x:c r="F2" s="12" t="n">
        <x:v>2021</x:v>
      </x:c>
    </x:row>
    <x:row r="3">
      <x:c r="A3" s="18"/>
      <x:c r="B3" s="19" t="str">
        <x:v>Rm</x:v>
      </x:c>
      <x:c r="C3" s="20" t="str">
        <x:v>Rm</x:v>
      </x:c>
      <x:c r="D3" s="20" t="str">
        <x:v>Rm</x:v>
      </x:c>
      <x:c r="E3" s="20" t="str">
        <x:v>Rm</x:v>
      </x:c>
      <x:c r="F3" s="20" t="str">
        <x:v>Rm</x:v>
      </x:c>
    </x:row>
    <x:row r="4">
      <x:c r="B4" s="112"/>
      <x:c r="C4" s="113"/>
      <x:c r="D4" s="113"/>
      <x:c r="E4" s="113"/>
      <x:c r="F4" s="114"/>
    </x:row>
    <x:row r="5">
      <x:c r="A5" s="92" t="str">
        <x:v>Revenue</x:v>
      </x:c>
      <x:c r="B5" s="115" t="n">
        <x:v>85459</x:v>
      </x:c>
      <x:c r="C5" s="66" t="n">
        <x:v>86398</x:v>
      </x:c>
      <x:c r="D5" s="65" t="n">
        <x:v>106594</x:v>
      </x:c>
      <x:c r="E5" s="66" t="n">
        <x:v>118332</x:v>
      </x:c>
      <x:c r="F5" s="116" t="n">
        <x:v>129575</x:v>
      </x:c>
    </x:row>
    <x:row r="6">
      <x:c r="A6" s="92" t="str">
        <x:v>Cost of sales</x:v>
      </x:c>
      <x:c r="B6" s="115" t="n">
        <x:v>-83016</x:v>
      </x:c>
      <x:c r="C6" s="66" t="n">
        <x:v>-80931</x:v>
      </x:c>
      <x:c r="D6" s="65" t="n">
        <x:v>-84256</x:v>
      </x:c>
      <x:c r="E6" s="66" t="n">
        <x:v>-77047</x:v>
      </x:c>
      <x:c r="F6" s="116" t="n">
        <x:v>-76120</x:v>
      </x:c>
    </x:row>
    <x:row r="7">
      <x:c r="A7" s="93" t="str">
        <x:v>Gross profit</x:v>
      </x:c>
      <x:c r="B7" s="117" t="n">
        <x:f>B5+B6</x:f>
        <x:v>2443</x:v>
      </x:c>
      <x:c r="C7" s="69" t="n">
        <x:f>C5+C6</x:f>
        <x:v>5467</x:v>
      </x:c>
      <x:c r="D7" s="68" t="n">
        <x:f>D5+D6</x:f>
        <x:v>22338</x:v>
      </x:c>
      <x:c r="E7" s="69" t="n">
        <x:f>E5+E6</x:f>
        <x:v>41285</x:v>
      </x:c>
      <x:c r="F7" s="118" t="n">
        <x:f>F5+F6</x:f>
        <x:v>53455</x:v>
      </x:c>
    </x:row>
    <x:row r="8">
      <x:c r="A8" s="92" t="str">
        <x:v>Impairment / (reversal of impairment)</x:v>
      </x:c>
      <x:c r="B8" s="115" t="n">
        <x:v>0</x:v>
      </x:c>
      <x:c r="C8" s="66" t="n">
        <x:v>-21852</x:v>
      </x:c>
      <x:c r="D8" s="65" t="n">
        <x:v>-15116</x:v>
      </x:c>
      <x:c r="E8" s="66" t="n">
        <x:v>0</x:v>
      </x:c>
      <x:c r="F8" s="116" t="n">
        <x:v>14728</x:v>
      </x:c>
    </x:row>
    <x:row r="9">
      <x:c r="A9" s="92" t="str">
        <x:v>IFRS 2 charge on B-BBEE transaction</x:v>
      </x:c>
      <x:c r="B9" s="115" t="n">
        <x:v>0</x:v>
      </x:c>
      <x:c r="C9" s="66" t="n">
        <x:v>-1932</x:v>
      </x:c>
      <x:c r="D9" s="65" t="n">
        <x:v>0</x:v>
      </x:c>
      <x:c r="E9" s="66" t="n">
        <x:v>0</x:v>
      </x:c>
      <x:c r="F9" s="116" t="n">
        <x:v>0</x:v>
      </x:c>
    </x:row>
    <x:row r="10">
      <x:c r="A10" s="92" t="str">
        <x:v>Loss on remeasurement of previously held equity investment before acquisition – RBPlat</x:v>
      </x:c>
      <x:c r="B10" s="115" t="n">
        <x:v>0</x:v>
      </x:c>
      <x:c r="C10" s="66" t="n">
        <x:v>0</x:v>
      </x:c>
      <x:c r="D10" s="65" t="n">
        <x:v>-1772</x:v>
      </x:c>
      <x:c r="E10" s="66" t="n">
        <x:v>0</x:v>
      </x:c>
      <x:c r="F10" s="116" t="n">
        <x:v>0</x:v>
      </x:c>
    </x:row>
    <x:row r="11">
      <x:c r="A11" s="92" t="str">
        <x:v>Other income</x:v>
      </x:c>
      <x:c r="B11" s="115" t="n">
        <x:v>946</x:v>
      </x:c>
      <x:c r="C11" s="66" t="n">
        <x:v>1170</x:v>
      </x:c>
      <x:c r="D11" s="65" t="n">
        <x:v>240</x:v>
      </x:c>
      <x:c r="E11" s="66" t="n">
        <x:v>100</x:v>
      </x:c>
      <x:c r="F11" s="116" t="n">
        <x:v>214</x:v>
      </x:c>
    </x:row>
    <x:row r="12">
      <x:c r="A12" s="92" t="str">
        <x:v>Other expenses</x:v>
      </x:c>
      <x:c r="B12" s="115" t="n">
        <x:v>-1093</x:v>
      </x:c>
      <x:c r="C12" s="66" t="n">
        <x:v>-1289</x:v>
      </x:c>
      <x:c r="D12" s="65" t="n">
        <x:v>-1319</x:v>
      </x:c>
      <x:c r="E12" s="66" t="n">
        <x:v>-539</x:v>
      </x:c>
      <x:c r="F12" s="116" t="n">
        <x:v>-2175</x:v>
      </x:c>
    </x:row>
    <x:row r="13">
      <x:c r="A13" s="92" t="str">
        <x:v>Finance income</x:v>
      </x:c>
      <x:c r="B13" s="115" t="n">
        <x:v>989</x:v>
      </x:c>
      <x:c r="C13" s="66" t="n">
        <x:v>1076</x:v>
      </x:c>
      <x:c r="D13" s="65" t="n">
        <x:v>1792</x:v>
      </x:c>
      <x:c r="E13" s="66" t="n">
        <x:v>805</x:v>
      </x:c>
      <x:c r="F13" s="116" t="n">
        <x:v>768</x:v>
      </x:c>
    </x:row>
    <x:row r="14">
      <x:c r="A14" s="92" t="str">
        <x:v>Finance costs</x:v>
      </x:c>
      <x:c r="B14" s="115" t="n">
        <x:v>-1001</x:v>
      </x:c>
      <x:c r="C14" s="66" t="n">
        <x:v>-960</x:v>
      </x:c>
      <x:c r="D14" s="65" t="n">
        <x:v>-615</x:v>
      </x:c>
      <x:c r="E14" s="66" t="n">
        <x:v>-562</x:v>
      </x:c>
      <x:c r="F14" s="116" t="n">
        <x:v>-946</x:v>
      </x:c>
    </x:row>
    <x:row r="15">
      <x:c r="A15" s="92" t="str">
        <x:v>Net foreign exchange transaction gains/(losses)</x:v>
      </x:c>
      <x:c r="B15" s="115" t="n">
        <x:v>-294</x:v>
      </x:c>
      <x:c r="C15" s="66" t="n">
        <x:v>-924</x:v>
      </x:c>
      <x:c r="D15" s="65" t="n">
        <x:v>857</x:v>
      </x:c>
      <x:c r="E15" s="66" t="n">
        <x:v>-161</x:v>
      </x:c>
      <x:c r="F15" s="116" t="n">
        <x:v>-1336</x:v>
      </x:c>
    </x:row>
    <x:row r="16">
      <x:c r="A16" s="92" t="str">
        <x:v>Share of profit/(loss) of equity-accounted entities</x:v>
      </x:c>
      <x:c r="B16" s="115" t="n">
        <x:v>-497</x:v>
      </x:c>
      <x:c r="C16" s="66" t="n">
        <x:v>-1182</x:v>
      </x:c>
      <x:c r="D16" s="65" t="n">
        <x:v>3382</x:v>
      </x:c>
      <x:c r="E16" s="66" t="n">
        <x:v>4311</x:v>
      </x:c>
      <x:c r="F16" s="116" t="n">
        <x:v>3212</x:v>
      </x:c>
    </x:row>
    <x:row r="17">
      <x:c r="A17" s="94" t="str">
        <x:v>Profit/(loss) before tax</x:v>
      </x:c>
      <x:c r="B17" s="119" t="n">
        <x:f>SUM(B7:B16)</x:f>
        <x:v>1493</x:v>
      </x:c>
      <x:c r="C17" s="71" t="n">
        <x:f>SUM(C7:C16)</x:f>
        <x:v>-20426</x:v>
      </x:c>
      <x:c r="D17" s="71" t="n">
        <x:f>SUM(D7:D16)</x:f>
        <x:v>9787</x:v>
      </x:c>
      <x:c r="E17" s="71" t="n">
        <x:f>SUM(E7:E16)</x:f>
        <x:v>45239</x:v>
      </x:c>
      <x:c r="F17" s="120" t="n">
        <x:f>SUM(F7:F16)</x:f>
        <x:v>67920</x:v>
      </x:c>
    </x:row>
    <x:row r="18">
      <x:c r="A18" s="92" t="str">
        <x:v>Income tax (expense)/credit</x:v>
      </x:c>
      <x:c r="B18" s="115" t="n">
        <x:v>-786</x:v>
      </x:c>
      <x:c r="C18" s="66" t="n">
        <x:v>3275</x:v>
      </x:c>
      <x:c r="D18" s="65" t="n">
        <x:v>-3609</x:v>
      </x:c>
      <x:c r="E18" s="66" t="n">
        <x:v>-12100</x:v>
      </x:c>
      <x:c r="F18" s="116" t="n">
        <x:v>-20065</x:v>
      </x:c>
    </x:row>
    <x:row r="19">
      <x:c r="A19" s="94" t="str">
        <x:v>Profit/(loss) for the year</x:v>
      </x:c>
      <x:c r="B19" s="119" t="n">
        <x:f>B17+B18</x:f>
        <x:v>707</x:v>
      </x:c>
      <x:c r="C19" s="71" t="n">
        <x:f>C17+C18</x:f>
        <x:v>-17151</x:v>
      </x:c>
      <x:c r="D19" s="71" t="n">
        <x:f>D17+D18</x:f>
        <x:v>6178</x:v>
      </x:c>
      <x:c r="E19" s="71" t="n">
        <x:f>E17+E18</x:f>
        <x:v>33139</x:v>
      </x:c>
      <x:c r="F19" s="120" t="n">
        <x:f>F17+F18</x:f>
        <x:v>47855</x:v>
      </x:c>
    </x:row>
    <x:row r="20">
      <x:c r="A20" s="93" t="str">
        <x:v>Other comprehensive income/(loss), net of tax</x:v>
      </x:c>
      <x:c r="B20" s="117" t="n">
        <x:f>B21+B24</x:f>
        <x:v>-574</x:v>
      </x:c>
      <x:c r="C20" s="69" t="n">
        <x:f>C21+C24</x:f>
        <x:v>-729</x:v>
      </x:c>
      <x:c r="D20" s="68" t="n">
        <x:f>D21+D24</x:f>
        <x:v>5872</x:v>
      </x:c>
      <x:c r="E20" s="69" t="n">
        <x:f>E21+E24</x:f>
        <x:v>4237</x:v>
      </x:c>
      <x:c r="F20" s="118" t="n">
        <x:f>F21+F24</x:f>
        <x:v>-4640</x:v>
      </x:c>
    </x:row>
    <x:row r="21">
      <x:c r="A21" s="95" t="str">
        <x:v>Items that may subsequently be reclassified to profit or loss</x:v>
      </x:c>
      <x:c r="B21" s="121" t="n">
        <x:f>B22+B23</x:f>
        <x:v>-798</x:v>
      </x:c>
      <x:c r="C21" s="74" t="n">
        <x:f>C22+C23</x:f>
        <x:v>-759</x:v>
      </x:c>
      <x:c r="D21" s="73" t="n">
        <x:f>D22+D23</x:f>
        <x:v>5716</x:v>
      </x:c>
      <x:c r="E21" s="74" t="n">
        <x:f>E22+E23</x:f>
        <x:v>4198</x:v>
      </x:c>
      <x:c r="F21" s="122" t="n">
        <x:f>F22+F23</x:f>
        <x:v>-4669</x:v>
      </x:c>
    </x:row>
    <x:row r="22">
      <x:c r="A22" s="92" t="str">
        <x:v>– Exchange differences on translating foreign operations</x:v>
      </x:c>
      <x:c r="B22" s="115" t="n">
        <x:v>-904</x:v>
      </x:c>
      <x:c r="C22" s="66" t="n">
        <x:v>-1432</x:v>
      </x:c>
      <x:c r="D22" s="65" t="n">
        <x:v>5805</x:v>
      </x:c>
      <x:c r="E22" s="66" t="n">
        <x:v>4304</x:v>
      </x:c>
      <x:c r="F22" s="116" t="n">
        <x:v>-4758</x:v>
      </x:c>
    </x:row>
    <x:row r="23">
      <x:c r="A23" s="92" t="str">
        <x:v>– Deferred tax thereon</x:v>
      </x:c>
      <x:c r="B23" s="115" t="n">
        <x:v>106</x:v>
      </x:c>
      <x:c r="C23" s="66" t="n">
        <x:v>673</x:v>
      </x:c>
      <x:c r="D23" s="65" t="n">
        <x:v>-89</x:v>
      </x:c>
      <x:c r="E23" s="66" t="n">
        <x:v>-106</x:v>
      </x:c>
      <x:c r="F23" s="116" t="n">
        <x:v>89</x:v>
      </x:c>
    </x:row>
    <x:row r="24">
      <x:c r="A24" s="95" t="str">
        <x:v>Items that will not be subsequently reclassified to profit or loss</x:v>
      </x:c>
      <x:c r="B24" s="121" t="n">
        <x:f>SUM(B25:B28)</x:f>
        <x:v>224</x:v>
      </x:c>
      <x:c r="C24" s="74" t="n">
        <x:f>SUM(C25:C28)</x:f>
        <x:v>30</x:v>
      </x:c>
      <x:c r="D24" s="73" t="n">
        <x:f>SUM(D25:D28)</x:f>
        <x:v>156</x:v>
      </x:c>
      <x:c r="E24" s="74" t="n">
        <x:f>SUM(E25:E28)</x:f>
        <x:v>39</x:v>
      </x:c>
      <x:c r="F24" s="122" t="n">
        <x:f>SUM(F25:F28)</x:f>
        <x:v>29</x:v>
      </x:c>
    </x:row>
    <x:row r="25">
      <x:c r="A25" s="92" t="str">
        <x:v>– Financial assets at fair value through other comprehensive income</x:v>
      </x:c>
      <x:c r="B25" s="115" t="n">
        <x:v>309</x:v>
      </x:c>
      <x:c r="C25" s="66" t="n">
        <x:v>32</x:v>
      </x:c>
      <x:c r="D25" s="65" t="n">
        <x:v>152</x:v>
      </x:c>
      <x:c r="E25" s="66" t="n">
        <x:v>38</x:v>
      </x:c>
      <x:c r="F25" s="116" t="n">
        <x:v>31</x:v>
      </x:c>
    </x:row>
    <x:row r="26">
      <x:c r="A26" s="92" t="str">
        <x:v>– Deferred tax thereon</x:v>
      </x:c>
      <x:c r="B26" s="115" t="n">
        <x:v>-83</x:v>
      </x:c>
      <x:c r="C26" s="66" t="n">
        <x:v>0</x:v>
      </x:c>
      <x:c r="D26" s="65" t="n">
        <x:v>0</x:v>
      </x:c>
      <x:c r="E26" s="66" t="n">
        <x:v>0</x:v>
      </x:c>
      <x:c r="F26" s="116" t="n">
        <x:v>0</x:v>
      </x:c>
    </x:row>
    <x:row r="27">
      <x:c r="A27" s="92" t="str">
        <x:v>– Actuarial gain/(loss) on post-employment medical benefit</x:v>
      </x:c>
      <x:c r="B27" s="115" t="n">
        <x:v>-3</x:v>
      </x:c>
      <x:c r="C27" s="66" t="n">
        <x:v>-3</x:v>
      </x:c>
      <x:c r="D27" s="65" t="n">
        <x:v>5</x:v>
      </x:c>
      <x:c r="E27" s="66" t="n">
        <x:v>1</x:v>
      </x:c>
      <x:c r="F27" s="116" t="n">
        <x:v>-3</x:v>
      </x:c>
    </x:row>
    <x:row r="28">
      <x:c r="A28" s="92" t="str">
        <x:v>– Deferred tax thereon</x:v>
      </x:c>
      <x:c r="B28" s="115" t="n">
        <x:v>1</x:v>
      </x:c>
      <x:c r="C28" s="66" t="n">
        <x:v>1</x:v>
      </x:c>
      <x:c r="D28" s="65" t="n">
        <x:v>-1</x:v>
      </x:c>
      <x:c r="E28" s="66" t="n">
        <x:v>0</x:v>
      </x:c>
      <x:c r="F28" s="116" t="n">
        <x:v>1</x:v>
      </x:c>
    </x:row>
    <x:row r="29">
      <x:c r="A29" s="94" t="str">
        <x:v>Total comprehensive income/(loss) for the year</x:v>
      </x:c>
      <x:c r="B29" s="119" t="n">
        <x:f>B19+B20</x:f>
        <x:v>133</x:v>
      </x:c>
      <x:c r="C29" s="71" t="n">
        <x:f>C19+C20</x:f>
        <x:v>-17880</x:v>
      </x:c>
      <x:c r="D29" s="71" t="n">
        <x:f>D19+D20</x:f>
        <x:v>12050</x:v>
      </x:c>
      <x:c r="E29" s="71" t="n">
        <x:f>E19+E20</x:f>
        <x:v>37376</x:v>
      </x:c>
      <x:c r="F29" s="120" t="n">
        <x:f>F19+F20</x:f>
        <x:v>43215</x:v>
      </x:c>
    </x:row>
    <x:row r="30">
      <x:c r="A30" s="96"/>
      <x:c r="B30" s="123"/>
      <x:c r="C30" s="75"/>
      <x:c r="D30" s="76"/>
      <x:c r="E30" s="75"/>
      <x:c r="F30" s="124"/>
    </x:row>
    <x:row r="31">
      <x:c r="A31" s="95" t="str">
        <x:v>Profit/(loss) attributable to:</x:v>
      </x:c>
      <x:c r="B31" s="125"/>
      <x:c r="C31" s="72"/>
      <x:c r="D31" s="77"/>
      <x:c r="E31" s="72"/>
      <x:c r="F31" s="126"/>
    </x:row>
    <x:row r="32">
      <x:c r="A32" s="92" t="str">
        <x:v>Owners of the Company</x:v>
      </x:c>
      <x:c r="B32" s="115" t="n">
        <x:v>761</x:v>
      </x:c>
      <x:c r="C32" s="66" t="n">
        <x:v>-17313</x:v>
      </x:c>
      <x:c r="D32" s="65" t="n">
        <x:v>4905</x:v>
      </x:c>
      <x:c r="E32" s="66" t="n">
        <x:v>32049</x:v>
      </x:c>
      <x:c r="F32" s="116" t="n">
        <x:v>47032</x:v>
      </x:c>
    </x:row>
    <x:row r="33">
      <x:c r="A33" s="92" t="str">
        <x:v>Non-controlling interests</x:v>
      </x:c>
      <x:c r="B33" s="115" t="n">
        <x:v>-54</x:v>
      </x:c>
      <x:c r="C33" s="66" t="n">
        <x:v>162</x:v>
      </x:c>
      <x:c r="D33" s="65" t="n">
        <x:v>1273</x:v>
      </x:c>
      <x:c r="E33" s="66" t="n">
        <x:v>1090</x:v>
      </x:c>
      <x:c r="F33" s="116" t="n">
        <x:v>823</x:v>
      </x:c>
    </x:row>
    <x:row r="34">
      <x:c r="A34" s="94" t="str">
        <x:v>Profit/(loss) attributable total</x:v>
      </x:c>
      <x:c r="B34" s="117" t="n">
        <x:f>B32+B33</x:f>
        <x:v>707</x:v>
      </x:c>
      <x:c r="C34" s="71" t="n">
        <x:f>C32+C33</x:f>
        <x:v>-17151</x:v>
      </x:c>
      <x:c r="D34" s="68" t="n">
        <x:f>D32+D33</x:f>
        <x:v>6178</x:v>
      </x:c>
      <x:c r="E34" s="71" t="n">
        <x:f>E32+E33</x:f>
        <x:v>33139</x:v>
      </x:c>
      <x:c r="F34" s="118" t="n">
        <x:f>F32+F33</x:f>
        <x:v>47855</x:v>
      </x:c>
    </x:row>
    <x:row r="35">
      <x:c r="A35" s="96"/>
      <x:c r="B35" s="123"/>
      <x:c r="C35" s="75"/>
      <x:c r="D35" s="76"/>
      <x:c r="E35" s="75"/>
      <x:c r="F35" s="124"/>
    </x:row>
    <x:row r="36">
      <x:c r="A36" s="95" t="str">
        <x:v>Total comprehensive income/(loss) attributable to:</x:v>
      </x:c>
      <x:c r="B36" s="125"/>
      <x:c r="C36" s="72"/>
      <x:c r="D36" s="77"/>
      <x:c r="E36" s="72"/>
      <x:c r="F36" s="126"/>
    </x:row>
    <x:row r="37">
      <x:c r="A37" s="92" t="str">
        <x:v>Owners of the Company</x:v>
      </x:c>
      <x:c r="B37" s="115" t="n">
        <x:v>291</x:v>
      </x:c>
      <x:c r="C37" s="66" t="n">
        <x:v>-17882</x:v>
      </x:c>
      <x:c r="D37" s="65" t="n">
        <x:v>10263</x:v>
      </x:c>
      <x:c r="E37" s="66" t="n">
        <x:v>35889</x:v>
      </x:c>
      <x:c r="F37" s="116" t="n">
        <x:v>42860</x:v>
      </x:c>
    </x:row>
    <x:row r="38">
      <x:c r="A38" s="92" t="str">
        <x:v>Non-controlling interests</x:v>
      </x:c>
      <x:c r="B38" s="115" t="n">
        <x:v>-158</x:v>
      </x:c>
      <x:c r="C38" s="66" t="n">
        <x:v>2</x:v>
      </x:c>
      <x:c r="D38" s="65" t="n">
        <x:v>1787</x:v>
      </x:c>
      <x:c r="E38" s="66" t="n">
        <x:v>1487</x:v>
      </x:c>
      <x:c r="F38" s="116" t="n">
        <x:v>355</x:v>
      </x:c>
    </x:row>
    <x:row r="39">
      <x:c r="A39" s="94" t="str">
        <x:v>Total comprehensive income/(loss) attributable total</x:v>
      </x:c>
      <x:c r="B39" s="117" t="n">
        <x:f>B37+B38</x:f>
        <x:v>133</x:v>
      </x:c>
      <x:c r="C39" s="71" t="n">
        <x:f>C37+C38</x:f>
        <x:v>-17880</x:v>
      </x:c>
      <x:c r="D39" s="68" t="n">
        <x:f>D37+D38</x:f>
        <x:v>12050</x:v>
      </x:c>
      <x:c r="E39" s="71" t="n">
        <x:f>E37+E38</x:f>
        <x:v>37376</x:v>
      </x:c>
      <x:c r="F39" s="118" t="n">
        <x:f>F37+F38</x:f>
        <x:v>43215</x:v>
      </x:c>
    </x:row>
    <x:row r="40">
      <x:c r="A40" s="96"/>
      <x:c r="B40" s="123"/>
      <x:c r="C40" s="75"/>
      <x:c r="D40" s="76"/>
      <x:c r="E40" s="75"/>
      <x:c r="F40" s="124"/>
    </x:row>
    <x:row r="41">
      <x:c r="A41" s="95" t="str">
        <x:v>Earnings/(loss) per share (cents)</x:v>
      </x:c>
      <x:c r="B41" s="125"/>
      <x:c r="C41" s="72"/>
      <x:c r="D41" s="77"/>
      <x:c r="E41" s="72"/>
      <x:c r="F41" s="126"/>
    </x:row>
    <x:row r="42">
      <x:c r="A42" s="92" t="str">
        <x:v>Basic</x:v>
      </x:c>
      <x:c r="B42" s="115" t="n">
        <x:v>85</x:v>
      </x:c>
      <x:c r="C42" s="66" t="n">
        <x:v>-1929</x:v>
      </x:c>
      <x:c r="D42" s="65" t="n">
        <x:v>577</x:v>
      </x:c>
      <x:c r="E42" s="66" t="n">
        <x:v>3856</x:v>
      </x:c>
      <x:c r="F42" s="116" t="n">
        <x:v>5996</x:v>
      </x:c>
    </x:row>
    <x:row r="43">
      <x:c r="A43" s="92" t="str">
        <x:v>Diluted</x:v>
      </x:c>
      <x:c r="B43" s="115" t="n">
        <x:v>84</x:v>
      </x:c>
      <x:c r="C43" s="66" t="n">
        <x:v>-1924</x:v>
      </x:c>
      <x:c r="D43" s="65" t="n">
        <x:v>575</x:v>
      </x:c>
      <x:c r="E43" s="66" t="n">
        <x:v>3840</x:v>
      </x:c>
      <x:c r="F43" s="116" t="n">
        <x:v>5957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statement of financial position As at 30 June</x:v>
      </x:c>
      <x:c r="B1" s="5"/>
      <x:c r="C1" s="5"/>
      <x:c r="D1" s="5"/>
      <x:c r="E1" s="5"/>
      <x:c r="F1" s="5"/>
    </x:row>
    <x:row r="2">
      <x:c r="B2" s="16" t="n">
        <x:v>2025</x:v>
      </x:c>
      <x:c r="C2" s="12" t="n">
        <x:v>2024</x:v>
      </x:c>
      <x:c r="D2" s="12" t="n">
        <x:v>2023</x:v>
      </x:c>
      <x:c r="E2" s="12" t="n">
        <x:v>2022</x:v>
      </x:c>
      <x:c r="F2" s="12" t="n">
        <x:v>2021</x:v>
      </x:c>
    </x:row>
    <x:row r="3">
      <x:c r="A3" s="18"/>
      <x:c r="B3" s="19" t="str">
        <x:v>Rm</x:v>
      </x:c>
      <x:c r="C3" s="20" t="str">
        <x:v>Rm</x:v>
      </x:c>
      <x:c r="D3" s="20" t="str">
        <x:v>Rm</x:v>
      </x:c>
      <x:c r="E3" s="20" t="str">
        <x:v>Rm</x:v>
      </x:c>
      <x:c r="F3" s="20" t="str">
        <x:v>Rm</x:v>
      </x:c>
    </x:row>
    <x:row r="4">
      <x:c r="A4" s="110" t="str">
        <x:v>ASSETS</x:v>
      </x:c>
      <x:c r="B4" s="141"/>
      <x:c r="C4" s="106"/>
      <x:c r="D4" s="107"/>
      <x:c r="E4" s="106"/>
      <x:c r="F4" s="142"/>
    </x:row>
    <x:row r="5">
      <x:c r="A5" s="93" t="str">
        <x:v>Non-current assets</x:v>
      </x:c>
      <x:c r="B5" s="117" t="n">
        <x:f>SUM(B6:B13)</x:f>
        <x:v>81978</x:v>
      </x:c>
      <x:c r="C5" s="69" t="n">
        <x:f>SUM(C6:C13)</x:f>
        <x:v>82368</x:v>
      </x:c>
      <x:c r="D5" s="68" t="n">
        <x:f>SUM(D6:D13)</x:f>
        <x:v>101624</x:v>
      </x:c>
      <x:c r="E5" s="69" t="n">
        <x:f>SUM(E6:E13)</x:f>
        <x:v>95907</x:v>
      </x:c>
      <x:c r="F5" s="118" t="n">
        <x:f>SUM(F6:F13)</x:f>
        <x:v>69803</x:v>
      </x:c>
    </x:row>
    <x:row r="6">
      <x:c r="A6" s="92" t="str">
        <x:v>Property, plant and equipment</x:v>
      </x:c>
      <x:c r="B6" s="115" t="n">
        <x:v>63226</x:v>
      </x:c>
      <x:c r="C6" s="66" t="n">
        <x:v>63502</x:v>
      </x:c>
      <x:c r="D6" s="65" t="n">
        <x:v>71176</x:v>
      </x:c>
      <x:c r="E6" s="66" t="n">
        <x:v>64513</x:v>
      </x:c>
      <x:c r="F6" s="116" t="n">
        <x:v>57709</x:v>
      </x:c>
    </x:row>
    <x:row r="7">
      <x:c r="A7" s="92" t="str">
        <x:v>Investment property</x:v>
      </x:c>
      <x:c r="B7" s="115" t="n">
        <x:v>114</x:v>
      </x:c>
      <x:c r="C7" s="66" t="n">
        <x:v>86</x:v>
      </x:c>
      <x:c r="D7" s="65" t="n">
        <x:v>88</x:v>
      </x:c>
      <x:c r="E7" s="66" t="n">
        <x:v>90</x:v>
      </x:c>
      <x:c r="F7" s="116" t="n">
        <x:v>90</x:v>
      </x:c>
    </x:row>
    <x:row r="8">
      <x:c r="A8" s="92" t="str">
        <x:v>Goodwill</x:v>
      </x:c>
      <x:c r="B8" s="115" t="n">
        <x:v>3523</x:v>
      </x:c>
      <x:c r="C8" s="66" t="n">
        <x:v>3523</x:v>
      </x:c>
      <x:c r="D8" s="65" t="n">
        <x:v>9870</x:v>
      </x:c>
      <x:c r="E8" s="66" t="n">
        <x:v>0</x:v>
      </x:c>
      <x:c r="F8" s="116" t="n">
        <x:v>0</x:v>
      </x:c>
    </x:row>
    <x:row r="9">
      <x:c r="A9" s="92" t="str">
        <x:v>Investments in equity-accounted entities</x:v>
      </x:c>
      <x:c r="B9" s="115" t="n">
        <x:v>9596</x:v>
      </x:c>
      <x:c r="C9" s="66" t="n">
        <x:v>10305</x:v>
      </x:c>
      <x:c r="D9" s="65" t="n">
        <x:v>12525</x:v>
      </x:c>
      <x:c r="E9" s="66" t="n">
        <x:v>26804</x:v>
      </x:c>
      <x:c r="F9" s="116" t="n">
        <x:v>7748</x:v>
      </x:c>
    </x:row>
    <x:row r="10">
      <x:c r="A10" s="92" t="str">
        <x:v>Financial assets at fair value through other comprehensive income</x:v>
      </x:c>
      <x:c r="B10" s="115" t="n">
        <x:v>1002</x:v>
      </x:c>
      <x:c r="C10" s="66" t="n">
        <x:v>693</x:v>
      </x:c>
      <x:c r="D10" s="65" t="n">
        <x:v>661</x:v>
      </x:c>
      <x:c r="E10" s="66" t="n">
        <x:v>463</x:v>
      </x:c>
      <x:c r="F10" s="116" t="n">
        <x:v>425</x:v>
      </x:c>
    </x:row>
    <x:row r="11">
      <x:c r="A11" s="92" t="str">
        <x:v>Environmental rehabilitation investments</x:v>
      </x:c>
      <x:c r="B11" s="115" t="n">
        <x:v>3162</x:v>
      </x:c>
      <x:c r="C11" s="66" t="n">
        <x:v>2776</x:v>
      </x:c>
      <x:c r="D11" s="65" t="n">
        <x:v>2506</x:v>
      </x:c>
      <x:c r="E11" s="66" t="n">
        <x:v>315</x:v>
      </x:c>
      <x:c r="F11" s="116" t="n">
        <x:v>0</x:v>
      </x:c>
    </x:row>
    <x:row r="12">
      <x:c r="A12" s="92" t="str">
        <x:v>Other financial assets</x:v>
      </x:c>
      <x:c r="B12" s="115" t="n">
        <x:v>1175</x:v>
      </x:c>
      <x:c r="C12" s="66" t="n">
        <x:v>1275</x:v>
      </x:c>
      <x:c r="D12" s="65" t="n">
        <x:v>1257</x:v>
      </x:c>
      <x:c r="E12" s="66" t="n">
        <x:v>125</x:v>
      </x:c>
      <x:c r="F12" s="116" t="n">
        <x:v>84</x:v>
      </x:c>
    </x:row>
    <x:row r="13">
      <x:c r="A13" s="92" t="str">
        <x:v>Prepayments and other assets</x:v>
      </x:c>
      <x:c r="B13" s="115" t="n">
        <x:v>180</x:v>
      </x:c>
      <x:c r="C13" s="66" t="n">
        <x:v>208</x:v>
      </x:c>
      <x:c r="D13" s="65" t="n">
        <x:v>3541</x:v>
      </x:c>
      <x:c r="E13" s="66" t="n">
        <x:v>3597</x:v>
      </x:c>
      <x:c r="F13" s="116" t="n">
        <x:v>3747</x:v>
      </x:c>
    </x:row>
    <x:row r="14">
      <x:c r="A14" s="93" t="str">
        <x:v>Current assets</x:v>
      </x:c>
      <x:c r="B14" s="117" t="n">
        <x:f>SUM(B15:B20)</x:f>
        <x:v>53879</x:v>
      </x:c>
      <x:c r="C14" s="69" t="n">
        <x:f>SUM(C15:C20)</x:f>
        <x:v>50587</x:v>
      </x:c>
      <x:c r="D14" s="68" t="n">
        <x:f>SUM(D15:D20)</x:f>
        <x:v>67762</x:v>
      </x:c>
      <x:c r="E14" s="69" t="n">
        <x:f>SUM(E15:E20)</x:f>
        <x:v>60180</x:v>
      </x:c>
      <x:c r="F14" s="118" t="n">
        <x:f>SUM(F15:F20)</x:f>
        <x:v>56672</x:v>
      </x:c>
    </x:row>
    <x:row r="15">
      <x:c r="A15" s="92" t="str">
        <x:v>Inventories</x:v>
      </x:c>
      <x:c r="B15" s="115" t="n">
        <x:v>29735</x:v>
      </x:c>
      <x:c r="C15" s="66" t="n">
        <x:v>26578</x:v>
      </x:c>
      <x:c r="D15" s="65" t="n">
        <x:v>24320</x:v>
      </x:c>
      <x:c r="E15" s="66" t="n">
        <x:v>23899</x:v>
      </x:c>
      <x:c r="F15" s="116" t="n">
        <x:v>22711</x:v>
      </x:c>
    </x:row>
    <x:row r="16">
      <x:c r="A16" s="92" t="str">
        <x:v>Trade and other receivables</x:v>
      </x:c>
      <x:c r="B16" s="115" t="n">
        <x:v>11012</x:v>
      </x:c>
      <x:c r="C16" s="66" t="n">
        <x:v>11826</x:v>
      </x:c>
      <x:c r="D16" s="65" t="n">
        <x:v>11310</x:v>
      </x:c>
      <x:c r="E16" s="66" t="n">
        <x:v>6209</x:v>
      </x:c>
      <x:c r="F16" s="116" t="n">
        <x:v>7308</x:v>
      </x:c>
    </x:row>
    <x:row r="17">
      <x:c r="A17" s="92" t="str">
        <x:v>Current tax receivable</x:v>
      </x:c>
      <x:c r="B17" s="115" t="n">
        <x:v>252</x:v>
      </x:c>
      <x:c r="C17" s="66" t="n">
        <x:v>791</x:v>
      </x:c>
      <x:c r="D17" s="65" t="n">
        <x:v>1059</x:v>
      </x:c>
      <x:c r="E17" s="66" t="n">
        <x:v>530</x:v>
      </x:c>
      <x:c r="F17" s="116" t="n">
        <x:v>1064</x:v>
      </x:c>
    </x:row>
    <x:row r="18">
      <x:c r="A18" s="92" t="str">
        <x:v>Other financial assets</x:v>
      </x:c>
      <x:c r="B18" s="115" t="n">
        <x:v>41</x:v>
      </x:c>
      <x:c r="C18" s="66" t="n">
        <x:v>34</x:v>
      </x:c>
      <x:c r="D18" s="65" t="n">
        <x:v>23</x:v>
      </x:c>
      <x:c r="E18" s="66" t="n">
        <x:v>1056</x:v>
      </x:c>
      <x:c r="F18" s="116" t="n">
        <x:v>1006</x:v>
      </x:c>
    </x:row>
    <x:row r="19">
      <x:c r="A19" s="92" t="str">
        <x:v>Prepayments and other assets</x:v>
      </x:c>
      <x:c r="B19" s="115" t="n">
        <x:v>1211</x:v>
      </x:c>
      <x:c r="C19" s="66" t="n">
        <x:v>1729</x:v>
      </x:c>
      <x:c r="D19" s="65" t="n">
        <x:v>4230</x:v>
      </x:c>
      <x:c r="E19" s="66" t="n">
        <x:v>1981</x:v>
      </x:c>
      <x:c r="F19" s="116" t="n">
        <x:v>1109</x:v>
      </x:c>
    </x:row>
    <x:row r="20">
      <x:c r="A20" s="92" t="str">
        <x:v>Cash and cash equivalents</x:v>
      </x:c>
      <x:c r="B20" s="115" t="n">
        <x:v>11628</x:v>
      </x:c>
      <x:c r="C20" s="66" t="n">
        <x:v>9629</x:v>
      </x:c>
      <x:c r="D20" s="65" t="n">
        <x:v>26820</x:v>
      </x:c>
      <x:c r="E20" s="66" t="n">
        <x:v>26505</x:v>
      </x:c>
      <x:c r="F20" s="116" t="n">
        <x:v>23474</x:v>
      </x:c>
    </x:row>
    <x:row r="21">
      <x:c r="A21" s="94" t="str">
        <x:v>Total assets</x:v>
      </x:c>
      <x:c r="B21" s="119" t="n">
        <x:f>B5+B14</x:f>
        <x:v>135857</x:v>
      </x:c>
      <x:c r="C21" s="71" t="n">
        <x:f>C5+C14</x:f>
        <x:v>132955</x:v>
      </x:c>
      <x:c r="D21" s="71" t="n">
        <x:f>D5+D14</x:f>
        <x:v>169386</x:v>
      </x:c>
      <x:c r="E21" s="71" t="n">
        <x:f>E5+E14</x:f>
        <x:v>156087</x:v>
      </x:c>
      <x:c r="F21" s="120" t="n">
        <x:f>F5+F14</x:f>
        <x:v>126475</x:v>
      </x:c>
    </x:row>
    <x:row r="22">
      <x:c r="A22" s="110" t="str">
        <x:v>EQUITY AND LIABILITIES</x:v>
      </x:c>
      <x:c r="B22" s="141"/>
      <x:c r="C22" s="106"/>
      <x:c r="D22" s="107"/>
      <x:c r="E22" s="106"/>
      <x:c r="F22" s="142"/>
    </x:row>
    <x:row r="23">
      <x:c r="A23" s="95" t="str">
        <x:v>Equity</x:v>
      </x:c>
      <x:c r="B23" s="125"/>
      <x:c r="C23" s="72"/>
      <x:c r="D23" s="77"/>
      <x:c r="E23" s="72"/>
      <x:c r="F23" s="126"/>
    </x:row>
    <x:row r="24">
      <x:c r="A24" s="92" t="str">
        <x:v>Share capital</x:v>
      </x:c>
      <x:c r="B24" s="115" t="n">
        <x:v>30838</x:v>
      </x:c>
      <x:c r="C24" s="66" t="n">
        <x:v>31096</x:v>
      </x:c>
      <x:c r="D24" s="65" t="n">
        <x:v>25819</x:v>
      </x:c>
      <x:c r="E24" s="66" t="n">
        <x:v>23080</x:v>
      </x:c>
      <x:c r="F24" s="116" t="n">
        <x:v>21189</x:v>
      </x:c>
    </x:row>
    <x:row r="25">
      <x:c r="A25" s="92" t="str">
        <x:v>Retained earnings</x:v>
      </x:c>
      <x:c r="B25" s="115" t="n">
        <x:v>44952</x:v>
      </x:c>
      <x:c r="C25" s="66" t="n">
        <x:v>44276</x:v>
      </x:c>
      <x:c r="D25" s="65" t="n">
        <x:v>74175</x:v>
      </x:c>
      <x:c r="E25" s="66" t="n">
        <x:v>81336</x:v>
      </x:c>
      <x:c r="F25" s="116" t="n">
        <x:v>59661</x:v>
      </x:c>
    </x:row>
    <x:row r="26">
      <x:c r="A26" s="92" t="str">
        <x:v>Foreign currency translation reserve</x:v>
      </x:c>
      <x:c r="B26" s="115" t="n">
        <x:v>12627</x:v>
      </x:c>
      <x:c r="C26" s="66" t="n">
        <x:v>13321</x:v>
      </x:c>
      <x:c r="D26" s="65" t="n">
        <x:v>13920</x:v>
      </x:c>
      <x:c r="E26" s="66" t="n">
        <x:v>8718</x:v>
      </x:c>
      <x:c r="F26" s="116" t="n">
        <x:v>4917</x:v>
      </x:c>
    </x:row>
    <x:row r="27">
      <x:c r="A27" s="92" t="str">
        <x:v>Share-based payment reserve</x:v>
      </x:c>
      <x:c r="B27" s="115" t="n">
        <x:v>2431</x:v>
      </x:c>
      <x:c r="C27" s="66" t="n">
        <x:v>2221</x:v>
      </x:c>
      <x:c r="D27" s="65" t="n">
        <x:v>480</x:v>
      </x:c>
      <x:c r="E27" s="66" t="n">
        <x:v>1262</x:v>
      </x:c>
      <x:c r="F27" s="116" t="n">
        <x:v>1799</x:v>
      </x:c>
    </x:row>
    <x:row r="28">
      <x:c r="A28" s="92" t="str">
        <x:v>Other components of equity</x:v>
      </x:c>
      <x:c r="B28" s="115" t="n">
        <x:v>711</x:v>
      </x:c>
      <x:c r="C28" s="66" t="n">
        <x:v>485</x:v>
      </x:c>
      <x:c r="D28" s="65" t="n">
        <x:v>453</x:v>
      </x:c>
      <x:c r="E28" s="66" t="n">
        <x:v>301</x:v>
      </x:c>
      <x:c r="F28" s="116" t="n">
        <x:v>263</x:v>
      </x:c>
    </x:row>
    <x:row r="29">
      <x:c r="A29" s="93" t="str">
        <x:v>Equity attributable to owners of the Company</x:v>
      </x:c>
      <x:c r="B29" s="117" t="n">
        <x:f>SUM(B24:B28)</x:f>
        <x:v>91559</x:v>
      </x:c>
      <x:c r="C29" s="69" t="n">
        <x:f>SUM(C24:C28)</x:f>
        <x:v>91399</x:v>
      </x:c>
      <x:c r="D29" s="68" t="n">
        <x:f>SUM(D24:D28)</x:f>
        <x:v>114847</x:v>
      </x:c>
      <x:c r="E29" s="69" t="n">
        <x:f>SUM(E24:E28)</x:f>
        <x:v>114697</x:v>
      </x:c>
      <x:c r="F29" s="118" t="n">
        <x:f>SUM(F24:F28)</x:f>
        <x:v>87829</x:v>
      </x:c>
    </x:row>
    <x:row r="30">
      <x:c r="A30" s="92" t="str">
        <x:v>Non-controlling interests</x:v>
      </x:c>
      <x:c r="B30" s="115" t="n">
        <x:v>5056</x:v>
      </x:c>
      <x:c r="C30" s="66" t="n">
        <x:v>5226</x:v>
      </x:c>
      <x:c r="D30" s="65" t="n">
        <x:v>11188</x:v>
      </x:c>
      <x:c r="E30" s="66" t="n">
        <x:v>4594</x:v>
      </x:c>
      <x:c r="F30" s="116" t="n">
        <x:v>2847</x:v>
      </x:c>
    </x:row>
    <x:row r="31">
      <x:c r="A31" s="94" t="str">
        <x:v>Total equity</x:v>
      </x:c>
      <x:c r="B31" s="119" t="n">
        <x:f>B29+B30</x:f>
        <x:v>96615</x:v>
      </x:c>
      <x:c r="C31" s="71" t="n">
        <x:f>C29+C30</x:f>
        <x:v>96625</x:v>
      </x:c>
      <x:c r="D31" s="71" t="n">
        <x:f>D29+D30</x:f>
        <x:v>126035</x:v>
      </x:c>
      <x:c r="E31" s="71" t="n">
        <x:f>E29+E30</x:f>
        <x:v>119291</x:v>
      </x:c>
      <x:c r="F31" s="120" t="n">
        <x:f>F29+F30</x:f>
        <x:v>90676</x:v>
      </x:c>
    </x:row>
    <x:row r="32">
      <x:c r="A32" s="110" t="str">
        <x:v>LIABILITIES</x:v>
      </x:c>
      <x:c r="B32" s="141"/>
      <x:c r="C32" s="106"/>
      <x:c r="D32" s="107"/>
      <x:c r="E32" s="106"/>
      <x:c r="F32" s="142"/>
    </x:row>
    <x:row r="33">
      <x:c r="A33" s="93" t="str">
        <x:v>Non-current liabilities</x:v>
      </x:c>
      <x:c r="B33" s="117" t="n">
        <x:f>SUM(B34:B39)</x:f>
        <x:v>19611</x:v>
      </x:c>
      <x:c r="C33" s="69" t="n">
        <x:f>SUM(C34:C39)</x:f>
        <x:v>19486</x:v>
      </x:c>
      <x:c r="D33" s="68" t="n">
        <x:f>SUM(D34:D39)</x:f>
        <x:v>25679</x:v>
      </x:c>
      <x:c r="E33" s="69" t="n">
        <x:f>SUM(E34:E39)</x:f>
        <x:v>20209</x:v>
      </x:c>
      <x:c r="F33" s="118" t="n">
        <x:f>SUM(F34:F39)</x:f>
        <x:v>18006</x:v>
      </x:c>
    </x:row>
    <x:row r="34">
      <x:c r="A34" s="92" t="str">
        <x:v>Deferred tax</x:v>
      </x:c>
      <x:c r="B34" s="115" t="n">
        <x:v>12173</x:v>
      </x:c>
      <x:c r="C34" s="66" t="n">
        <x:v>13332</x:v>
      </x:c>
      <x:c r="D34" s="65" t="n">
        <x:v>19140</x:v>
      </x:c>
      <x:c r="E34" s="66" t="n">
        <x:v>16795</x:v>
      </x:c>
      <x:c r="F34" s="116" t="n">
        <x:v>14405</x:v>
      </x:c>
    </x:row>
    <x:row r="35">
      <x:c r="A35" s="92" t="str">
        <x:v>Provisions</x:v>
      </x:c>
      <x:c r="B35" s="115" t="n">
        <x:v>4308</x:v>
      </x:c>
      <x:c r="C35" s="66" t="n">
        <x:v>2855</x:v>
      </x:c>
      <x:c r="D35" s="65" t="n">
        <x:v>2734</x:v>
      </x:c>
      <x:c r="E35" s="66" t="n">
        <x:v>2214</x:v>
      </x:c>
      <x:c r="F35" s="116" t="n">
        <x:v>2239</x:v>
      </x:c>
    </x:row>
    <x:row r="36">
      <x:c r="A36" s="92" t="str">
        <x:v>Deferred revenue</x:v>
      </x:c>
      <x:c r="B36" s="115" t="n">
        <x:v>1338</x:v>
      </x:c>
      <x:c r="C36" s="66" t="n">
        <x:v>1259</x:v>
      </x:c>
      <x:c r="D36" s="65" t="n">
        <x:v>1238</x:v>
      </x:c>
      <x:c r="E36" s="66" t="n">
        <x:v>0</x:v>
      </x:c>
      <x:c r="F36" s="116" t="n">
        <x:v>0</x:v>
      </x:c>
    </x:row>
    <x:row r="37">
      <x:c r="A37" s="92" t="str">
        <x:v>Borrowings</x:v>
      </x:c>
      <x:c r="B37" s="115" t="n">
        <x:v>1636</x:v>
      </x:c>
      <x:c r="C37" s="66" t="n">
        <x:v>1912</x:v>
      </x:c>
      <x:c r="D37" s="65" t="n">
        <x:v>2255</x:v>
      </x:c>
      <x:c r="E37" s="66" t="n">
        <x:v>957</x:v>
      </x:c>
      <x:c r="F37" s="116" t="n">
        <x:v>1087</x:v>
      </x:c>
    </x:row>
    <x:row r="38">
      <x:c r="A38" s="92" t="str">
        <x:v>Other financial liabilities</x:v>
      </x:c>
      <x:c r="B38" s="115" t="n">
        <x:v>0</x:v>
      </x:c>
      <x:c r="C38" s="66" t="n">
        <x:v>0</x:v>
      </x:c>
      <x:c r="D38" s="65" t="n">
        <x:v>8</x:v>
      </x:c>
      <x:c r="E38" s="66" t="n">
        <x:v>16</x:v>
      </x:c>
      <x:c r="F38" s="116" t="n">
        <x:v>24</x:v>
      </x:c>
    </x:row>
    <x:row r="39">
      <x:c r="A39" s="92" t="str">
        <x:v>Other liabilities</x:v>
      </x:c>
      <x:c r="B39" s="115" t="n">
        <x:v>156</x:v>
      </x:c>
      <x:c r="C39" s="66" t="n">
        <x:v>128</x:v>
      </x:c>
      <x:c r="D39" s="65" t="n">
        <x:v>304</x:v>
      </x:c>
      <x:c r="E39" s="66" t="n">
        <x:v>227</x:v>
      </x:c>
      <x:c r="F39" s="116" t="n">
        <x:v>251</x:v>
      </x:c>
    </x:row>
    <x:row r="40">
      <x:c r="A40" s="93" t="str">
        <x:v>Current liabilities</x:v>
      </x:c>
      <x:c r="B40" s="117" t="n">
        <x:f>SUM(B41:B47)</x:f>
        <x:v>19631</x:v>
      </x:c>
      <x:c r="C40" s="69" t="n">
        <x:f>SUM(C41:C47)</x:f>
        <x:v>16844</x:v>
      </x:c>
      <x:c r="D40" s="68" t="n">
        <x:f>SUM(D41:D47)</x:f>
        <x:v>17672</x:v>
      </x:c>
      <x:c r="E40" s="69" t="n">
        <x:f>SUM(E41:E47)</x:f>
        <x:v>16587</x:v>
      </x:c>
      <x:c r="F40" s="118" t="n">
        <x:f>SUM(F41:F47)</x:f>
        <x:v>17793</x:v>
      </x:c>
    </x:row>
    <x:row r="41">
      <x:c r="A41" s="92" t="str">
        <x:v>Trade and other payables</x:v>
      </x:c>
      <x:c r="B41" s="115" t="n">
        <x:v>16251</x:v>
      </x:c>
      <x:c r="C41" s="66" t="n">
        <x:v>14798</x:v>
      </x:c>
      <x:c r="D41" s="65" t="n">
        <x:v>16041</x:v>
      </x:c>
      <x:c r="E41" s="66" t="n">
        <x:v>15428</x:v>
      </x:c>
      <x:c r="F41" s="116" t="n">
        <x:v>16190</x:v>
      </x:c>
    </x:row>
    <x:row r="42">
      <x:c r="A42" s="92" t="str">
        <x:v>Current tax payable</x:v>
      </x:c>
      <x:c r="B42" s="115" t="n">
        <x:v>489</x:v>
      </x:c>
      <x:c r="C42" s="66" t="n">
        <x:v>173</x:v>
      </x:c>
      <x:c r="D42" s="65" t="n">
        <x:v>242</x:v>
      </x:c>
      <x:c r="E42" s="66" t="n">
        <x:v>533</x:v>
      </x:c>
      <x:c r="F42" s="116" t="n">
        <x:v>653</x:v>
      </x:c>
    </x:row>
    <x:row r="43">
      <x:c r="A43" s="92" t="str">
        <x:v>Provisions</x:v>
      </x:c>
      <x:c r="B43" s="115" t="n">
        <x:v>240</x:v>
      </x:c>
      <x:c r="C43" s="66" t="n">
        <x:v>55</x:v>
      </x:c>
      <x:c r="D43" s="65" t="n">
        <x:v>94</x:v>
      </x:c>
      <x:c r="E43" s="66" t="n">
        <x:v>98</x:v>
      </x:c>
      <x:c r="F43" s="116" t="n">
        <x:v>100</x:v>
      </x:c>
    </x:row>
    <x:row r="44">
      <x:c r="A44" s="92" t="str">
        <x:v>Deferred revenue</x:v>
      </x:c>
      <x:c r="B44" s="115" t="n">
        <x:v>261</x:v>
      </x:c>
      <x:c r="C44" s="66" t="n">
        <x:v>240</x:v>
      </x:c>
      <x:c r="D44" s="65" t="n">
        <x:v>144</x:v>
      </x:c>
      <x:c r="E44" s="66" t="n">
        <x:v>0</x:v>
      </x:c>
      <x:c r="F44" s="116" t="n">
        <x:v>0</x:v>
      </x:c>
    </x:row>
    <x:row r="45">
      <x:c r="A45" s="92" t="str">
        <x:v>Borrowings</x:v>
      </x:c>
      <x:c r="B45" s="115" t="n">
        <x:v>2154</x:v>
      </x:c>
      <x:c r="C45" s="66" t="n">
        <x:v>1429</x:v>
      </x:c>
      <x:c r="D45" s="65" t="n">
        <x:v>335</x:v>
      </x:c>
      <x:c r="E45" s="66" t="n">
        <x:v>250</x:v>
      </x:c>
      <x:c r="F45" s="116" t="n">
        <x:v>241</x:v>
      </x:c>
    </x:row>
    <x:row r="46">
      <x:c r="A46" s="92" t="str">
        <x:v>Other financial liabilities</x:v>
      </x:c>
      <x:c r="B46" s="115" t="n">
        <x:v>0</x:v>
      </x:c>
      <x:c r="C46" s="66" t="n">
        <x:v>49</x:v>
      </x:c>
      <x:c r="D46" s="65" t="n">
        <x:v>263</x:v>
      </x:c>
      <x:c r="E46" s="66" t="n">
        <x:v>34</x:v>
      </x:c>
      <x:c r="F46" s="116" t="n">
        <x:v>28</x:v>
      </x:c>
    </x:row>
    <x:row r="47">
      <x:c r="A47" s="92" t="str">
        <x:v>Other liabilities</x:v>
      </x:c>
      <x:c r="B47" s="115" t="n">
        <x:v>236</x:v>
      </x:c>
      <x:c r="C47" s="66" t="n">
        <x:v>100</x:v>
      </x:c>
      <x:c r="D47" s="65" t="n">
        <x:v>553</x:v>
      </x:c>
      <x:c r="E47" s="66" t="n">
        <x:v>244</x:v>
      </x:c>
      <x:c r="F47" s="116" t="n">
        <x:v>581</x:v>
      </x:c>
    </x:row>
    <x:row r="48">
      <x:c r="A48" s="94" t="str">
        <x:v>Total liabilities</x:v>
      </x:c>
      <x:c r="B48" s="119" t="n">
        <x:f>B33+B40</x:f>
        <x:v>39242</x:v>
      </x:c>
      <x:c r="C48" s="71" t="n">
        <x:f>C33+C40</x:f>
        <x:v>36330</x:v>
      </x:c>
      <x:c r="D48" s="71" t="n">
        <x:f>D33+D40</x:f>
        <x:v>43351</x:v>
      </x:c>
      <x:c r="E48" s="71" t="n">
        <x:f>E33+E40</x:f>
        <x:v>36796</x:v>
      </x:c>
      <x:c r="F48" s="120" t="n">
        <x:f>F33+F40</x:f>
        <x:v>35799</x:v>
      </x:c>
    </x:row>
    <x:row r="49">
      <x:c r="A49" s="94" t="str">
        <x:v>Total equity and liabilities</x:v>
      </x:c>
      <x:c r="B49" s="119" t="n">
        <x:f>B31+B48</x:f>
        <x:v>135857</x:v>
      </x:c>
      <x:c r="C49" s="71" t="n">
        <x:f>C31+C48</x:f>
        <x:v>132955</x:v>
      </x:c>
      <x:c r="D49" s="71" t="n">
        <x:f>D31+D48</x:f>
        <x:v>169386</x:v>
      </x:c>
      <x:c r="E49" s="71" t="n">
        <x:f>E31+E48</x:f>
        <x:v>156087</x:v>
      </x:c>
      <x:c r="F49" s="120" t="n">
        <x:f>F31+F48</x:f>
        <x:v>126475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169" t="str">
        <x:v>statement of cash flows For the year ended 30 June</x:v>
      </x:c>
      <x:c r="B1" s="169"/>
      <x:c r="C1" s="169"/>
      <x:c r="D1" s="169"/>
      <x:c r="E1" s="169"/>
      <x:c r="F1" s="169"/>
    </x:row>
    <x:row r="2">
      <x:c r="A2" s="75"/>
      <x:c r="B2" s="170" t="n">
        <x:v>2025</x:v>
      </x:c>
      <x:c r="C2" s="170" t="n">
        <x:v>2024</x:v>
      </x:c>
      <x:c r="D2" s="170" t="str">
        <x:v>2023
Restated</x:v>
      </x:c>
      <x:c r="E2" s="170" t="n">
        <x:v>2022</x:v>
      </x:c>
      <x:c r="F2" s="170" t="n">
        <x:v>2021</x:v>
      </x:c>
    </x:row>
    <x:row r="3">
      <x:c r="A3" s="171"/>
      <x:c r="B3" s="172" t="str">
        <x:v>Rm</x:v>
      </x:c>
      <x:c r="C3" s="172" t="str">
        <x:v>Rm</x:v>
      </x:c>
      <x:c r="D3" s="172" t="str">
        <x:v>Rm</x:v>
      </x:c>
      <x:c r="E3" s="172" t="str">
        <x:v>Rm</x:v>
      </x:c>
      <x:c r="F3" s="172" t="str">
        <x:v>Rm</x:v>
      </x:c>
    </x:row>
    <x:row r="4">
      <x:c r="A4" s="75"/>
      <x:c r="B4" s="75"/>
      <x:c r="C4" s="75"/>
      <x:c r="D4" s="75"/>
      <x:c r="E4" s="75"/>
      <x:c r="F4" s="75"/>
    </x:row>
    <x:row r="5">
      <x:c r="A5" s="185" t="str">
        <x:v>CASH FLOWS FROM OPERATING ACTIVITIES</x:v>
      </x:c>
      <x:c r="B5" s="174"/>
      <x:c r="C5" s="175"/>
      <x:c r="D5" s="174"/>
      <x:c r="E5" s="175"/>
      <x:c r="F5" s="174"/>
    </x:row>
    <x:row r="6">
      <x:c r="A6" s="186" t="str">
        <x:v>Cash generated from operations</x:v>
      </x:c>
      <x:c r="B6" s="177" t="n">
        <x:v>8743</x:v>
      </x:c>
      <x:c r="C6" s="178" t="n">
        <x:v>8666</x:v>
      </x:c>
      <x:c r="D6" s="177" t="n">
        <x:v>30372</x:v>
      </x:c>
      <x:c r="E6" s="178" t="n">
        <x:v>45955</x:v>
      </x:c>
      <x:c r="F6" s="177" t="n">
        <x:v>56852</x:v>
      </x:c>
    </x:row>
    <x:row r="7">
      <x:c r="A7" s="186" t="str">
        <x:v>Finance costs paid</x:v>
      </x:c>
      <x:c r="B7" s="177" t="n">
        <x:v>-385</x:v>
      </x:c>
      <x:c r="C7" s="178" t="n">
        <x:v>-480</x:v>
      </x:c>
      <x:c r="D7" s="177" t="n">
        <x:v>-384</x:v>
      </x:c>
      <x:c r="E7" s="178" t="n">
        <x:v>-379</x:v>
      </x:c>
      <x:c r="F7" s="177" t="n">
        <x:v>-505</x:v>
      </x:c>
    </x:row>
    <x:row r="8">
      <x:c r="A8" s="186" t="str">
        <x:v>Income tax paid</x:v>
      </x:c>
      <x:c r="B8" s="177" t="n">
        <x:v>-992</x:v>
      </x:c>
      <x:c r="C8" s="178" t="n">
        <x:v>-1245</x:v>
      </x:c>
      <x:c r="D8" s="177" t="n">
        <x:v>-6419</x:v>
      </x:c>
      <x:c r="E8" s="178" t="n">
        <x:v>-10637</x:v>
      </x:c>
      <x:c r="F8" s="177" t="n">
        <x:v>-14513</x:v>
      </x:c>
    </x:row>
    <x:row r="9">
      <x:c r="A9" s="187" t="str">
        <x:v>Net cash inflow from operating activities</x:v>
      </x:c>
      <x:c r="B9" s="180" t="n">
        <x:v>7366</x:v>
      </x:c>
      <x:c r="C9" s="181" t="n">
        <x:v>6941</x:v>
      </x:c>
      <x:c r="D9" s="180" t="n">
        <x:v>23569</x:v>
      </x:c>
      <x:c r="E9" s="181" t="n">
        <x:v>34939</x:v>
      </x:c>
      <x:c r="F9" s="180" t="n">
        <x:v>41834</x:v>
      </x:c>
    </x:row>
    <x:row r="10">
      <x:c r="A10" s="185" t="str">
        <x:v>CASH FLOWS FROM INVESTING ACTIVITIES</x:v>
      </x:c>
      <x:c r="B10" s="174"/>
      <x:c r="C10" s="175"/>
      <x:c r="D10" s="174"/>
      <x:c r="E10" s="175"/>
      <x:c r="F10" s="174"/>
    </x:row>
    <x:row r="11">
      <x:c r="A11" s="186" t="str">
        <x:v>Purchase of property, plant and equipment</x:v>
      </x:c>
      <x:c r="B11" s="177" t="n">
        <x:v>-6857</x:v>
      </x:c>
      <x:c r="C11" s="178" t="n">
        <x:v>-13980</x:v>
      </x:c>
      <x:c r="D11" s="177" t="n">
        <x:v>-11356</x:v>
      </x:c>
      <x:c r="E11" s="178" t="n">
        <x:v>-8968</x:v>
      </x:c>
      <x:c r="F11" s="177" t="n">
        <x:v>-6265</x:v>
      </x:c>
    </x:row>
    <x:row r="12">
      <x:c r="A12" s="186" t="str">
        <x:v>Decrease/(increase) in deposits on property, plant and equipment</x:v>
      </x:c>
      <x:c r="B12" s="177" t="n">
        <x:v>293</x:v>
      </x:c>
      <x:c r="C12" s="178" t="n">
        <x:v>1689</x:v>
      </x:c>
      <x:c r="D12" s="177" t="n">
        <x:v>-1314</x:v>
      </x:c>
      <x:c r="E12" s="178" t="n">
        <x:v>0</x:v>
      </x:c>
      <x:c r="F12" s="177" t="n">
        <x:v>0</x:v>
      </x:c>
    </x:row>
    <x:row r="13">
      <x:c r="A13" s="186" t="str">
        <x:v>Proceeds from sale of property, plant and equipment</x:v>
      </x:c>
      <x:c r="B13" s="177" t="n">
        <x:v>87</x:v>
      </x:c>
      <x:c r="C13" s="178" t="n">
        <x:v>119</x:v>
      </x:c>
      <x:c r="D13" s="177" t="n">
        <x:v>55</x:v>
      </x:c>
      <x:c r="E13" s="178" t="n">
        <x:v>83</x:v>
      </x:c>
      <x:c r="F13" s="177" t="n">
        <x:v>148</x:v>
      </x:c>
    </x:row>
    <x:row r="14">
      <x:c r="A14" s="186" t="str">
        <x:v>Acquisition of interest in joint venture</x:v>
      </x:c>
      <x:c r="B14" s="177" t="n">
        <x:v>0</x:v>
      </x:c>
      <x:c r="C14" s="178" t="n">
        <x:v>0</x:v>
      </x:c>
      <x:c r="D14" s="177" t="n">
        <x:v>0</x:v>
      </x:c>
      <x:c r="E14" s="178" t="n">
        <x:v>0</x:v>
      </x:c>
      <x:c r="F14" s="177" t="n">
        <x:v>-232</x:v>
      </x:c>
    </x:row>
    <x:row r="15">
      <x:c r="A15" s="186" t="str">
        <x:v>Investment in financial instruments at fair value through profit and loss</x:v>
      </x:c>
      <x:c r="B15" s="177" t="n">
        <x:v>0</x:v>
      </x:c>
      <x:c r="C15" s="178" t="n">
        <x:v>0</x:v>
      </x:c>
      <x:c r="D15" s="177" t="n">
        <x:v>0</x:v>
      </x:c>
      <x:c r="E15" s="178" t="n">
        <x:v>0</x:v>
      </x:c>
      <x:c r="F15" s="177" t="n">
        <x:v>-1000</x:v>
      </x:c>
    </x:row>
    <x:row r="16">
      <x:c r="A16" s="186" t="str">
        <x:v>Acquisition of interest in Royal Bafokeng Platinum</x:v>
      </x:c>
      <x:c r="B16" s="177" t="n">
        <x:v>0</x:v>
      </x:c>
      <x:c r="C16" s="178" t="n">
        <x:v>0</x:v>
      </x:c>
      <x:c r="D16" s="177" t="n">
        <x:v>-2195</x:v>
      </x:c>
      <x:c r="E16" s="178" t="n">
        <x:v>-9939</x:v>
      </x:c>
      <x:c r="F16" s="177" t="n">
        <x:v>0</x:v>
      </x:c>
    </x:row>
    <x:row r="17">
      <x:c r="A17" s="186" t="str">
        <x:v>Net cash acquired through the acquisition of Royal Bafokeng Platinum</x:v>
      </x:c>
      <x:c r="B17" s="177" t="n">
        <x:v>0</x:v>
      </x:c>
      <x:c r="C17" s="178" t="n">
        <x:v>0</x:v>
      </x:c>
      <x:c r="D17" s="177" t="n">
        <x:v>2862</x:v>
      </x:c>
      <x:c r="E17" s="178" t="n">
        <x:v>0</x:v>
      </x:c>
      <x:c r="F17" s="177" t="n">
        <x:v>0</x:v>
      </x:c>
    </x:row>
    <x:row r="18">
      <x:c r="A18" s="188" t="str">
        <x:v>    Acquisition of controlling interest in Royal Bafokeng Platinum</x:v>
      </x:c>
      <x:c r="B18" s="183" t="n">
        <x:v>0</x:v>
      </x:c>
      <x:c r="C18" s="184" t="n">
        <x:v>0</x:v>
      </x:c>
      <x:c r="D18" s="183" t="n">
        <x:v>-2394</x:v>
      </x:c>
      <x:c r="E18" s="184" t="n">
        <x:v>0</x:v>
      </x:c>
      <x:c r="F18" s="183" t="n">
        <x:v>0</x:v>
      </x:c>
    </x:row>
    <x:row r="19">
      <x:c r="A19" s="188" t="str">
        <x:v>    Cash acquired through the acquisition</x:v>
      </x:c>
      <x:c r="B19" s="183" t="n">
        <x:v>0</x:v>
      </x:c>
      <x:c r="C19" s="184" t="n">
        <x:v>0</x:v>
      </x:c>
      <x:c r="D19" s="183" t="n">
        <x:v>5256</x:v>
      </x:c>
      <x:c r="E19" s="184" t="n">
        <x:v>0</x:v>
      </x:c>
      <x:c r="F19" s="183" t="n">
        <x:v>0</x:v>
      </x:c>
    </x:row>
    <x:row r="20">
      <x:c r="A20" s="186" t="str">
        <x:v>Acquisition of interest in other equity-accounted investments</x:v>
      </x:c>
      <x:c r="B20" s="177" t="n">
        <x:v>-43</x:v>
      </x:c>
      <x:c r="C20" s="178" t="n">
        <x:v>-134</x:v>
      </x:c>
      <x:c r="D20" s="177" t="n">
        <x:v>-250</x:v>
      </x:c>
      <x:c r="E20" s="178" t="n">
        <x:v>-218</x:v>
      </x:c>
      <x:c r="F20" s="177" t="n">
        <x:v>0</x:v>
      </x:c>
    </x:row>
    <x:row r="21">
      <x:c r="A21" s="186" t="str">
        <x:v>Proceeds from disposal of short-term and other investments</x:v>
      </x:c>
      <x:c r="B21" s="177" t="n">
        <x:v>0</x:v>
      </x:c>
      <x:c r="C21" s="178" t="n">
        <x:v>0</x:v>
      </x:c>
      <x:c r="D21" s="177" t="n">
        <x:v>1125</x:v>
      </x:c>
      <x:c r="E21" s="178" t="n">
        <x:v>0</x:v>
      </x:c>
      <x:c r="F21" s="177" t="n">
        <x:v>0</x:v>
      </x:c>
    </x:row>
    <x:row r="22">
      <x:c r="A22" s="186" t="str">
        <x:v>Proceeds from sale of environmental rehabilitation investments</x:v>
      </x:c>
      <x:c r="B22" s="177" t="n">
        <x:v>178</x:v>
      </x:c>
      <x:c r="C22" s="178" t="n">
        <x:v>0</x:v>
      </x:c>
      <x:c r="D22" s="177" t="n">
        <x:v>0</x:v>
      </x:c>
      <x:c r="E22" s="178" t="n">
        <x:v>0</x:v>
      </x:c>
      <x:c r="F22" s="177" t="n">
        <x:v>0</x:v>
      </x:c>
    </x:row>
    <x:row r="23">
      <x:c r="A23" s="186" t="str">
        <x:v>Investments in environmental rehabilitation financial assets</x:v>
      </x:c>
      <x:c r="B23" s="177" t="n">
        <x:v>-178</x:v>
      </x:c>
      <x:c r="C23" s="178" t="n">
        <x:v>-22</x:v>
      </x:c>
      <x:c r="D23" s="177" t="n">
        <x:v>-1689</x:v>
      </x:c>
      <x:c r="E23" s="178" t="n">
        <x:v>-306</x:v>
      </x:c>
      <x:c r="F23" s="177" t="n">
        <x:v>0</x:v>
      </x:c>
    </x:row>
    <x:row r="24">
      <x:c r="A24" s="186" t="str">
        <x:v>Acquisition of financial assets at fair value through other comprehensive income</x:v>
      </x:c>
      <x:c r="B24" s="177" t="n">
        <x:v>0</x:v>
      </x:c>
      <x:c r="C24" s="178" t="n">
        <x:v>0</x:v>
      </x:c>
      <x:c r="D24" s="177" t="n">
        <x:v>-46</x:v>
      </x:c>
      <x:c r="E24" s="178" t="n">
        <x:v>0</x:v>
      </x:c>
      <x:c r="F24" s="177" t="n">
        <x:v>0</x:v>
      </x:c>
    </x:row>
    <x:row r="25">
      <x:c r="A25" s="186" t="str">
        <x:v>Finance income received</x:v>
      </x:c>
      <x:c r="B25" s="177" t="n">
        <x:v>963</x:v>
      </x:c>
      <x:c r="C25" s="178" t="n">
        <x:v>1014</x:v>
      </x:c>
      <x:c r="D25" s="177" t="n">
        <x:v>1695</x:v>
      </x:c>
      <x:c r="E25" s="178" t="n">
        <x:v>756</x:v>
      </x:c>
      <x:c r="F25" s="177" t="n">
        <x:v>766</x:v>
      </x:c>
    </x:row>
    <x:row r="26">
      <x:c r="A26" s="186" t="str">
        <x:v>Dividends received</x:v>
      </x:c>
      <x:c r="B26" s="177" t="n">
        <x:v>451</x:v>
      </x:c>
      <x:c r="C26" s="178" t="n">
        <x:v>249</x:v>
      </x:c>
      <x:c r="D26" s="177" t="n">
        <x:v>1616</x:v>
      </x:c>
      <x:c r="E26" s="178" t="n">
        <x:v>2070</x:v>
      </x:c>
      <x:c r="F26" s="177" t="n">
        <x:v>1822</x:v>
      </x:c>
    </x:row>
    <x:row r="27">
      <x:c r="A27" s="186" t="str">
        <x:v>Proceeds from equity instruments held at fair value through other comprehensive income</x:v>
      </x:c>
      <x:c r="B27" s="177" t="n">
        <x:v>0</x:v>
      </x:c>
      <x:c r="C27" s="178" t="n">
        <x:v>0</x:v>
      </x:c>
      <x:c r="D27" s="177" t="n">
        <x:v>0</x:v>
      </x:c>
      <x:c r="E27" s="178" t="n">
        <x:v>0</x:v>
      </x:c>
      <x:c r="F27" s="177" t="n">
        <x:v>0</x:v>
      </x:c>
    </x:row>
    <x:row r="28">
      <x:c r="A28" s="186" t="str">
        <x:v>Proceeds from long-term debt instruments</x:v>
      </x:c>
      <x:c r="B28" s="177" t="n">
        <x:v>0</x:v>
      </x:c>
      <x:c r="C28" s="178" t="n">
        <x:v>0</x:v>
      </x:c>
      <x:c r="D28" s="177" t="n">
        <x:v>0</x:v>
      </x:c>
      <x:c r="E28" s="178" t="n">
        <x:v>0</x:v>
      </x:c>
      <x:c r="F28" s="177" t="n">
        <x:v>0</x:v>
      </x:c>
    </x:row>
    <x:row r="29">
      <x:c r="A29" s="186" t="str">
        <x:v>Other</x:v>
      </x:c>
      <x:c r="B29" s="177" t="n">
        <x:v>51</x:v>
      </x:c>
      <x:c r="C29" s="178" t="n">
        <x:v>14</x:v>
      </x:c>
      <x:c r="D29" s="177" t="n">
        <x:v>-94</x:v>
      </x:c>
      <x:c r="E29" s="178" t="n">
        <x:v>-40</x:v>
      </x:c>
      <x:c r="F29" s="177" t="n">
        <x:v>8</x:v>
      </x:c>
    </x:row>
    <x:row r="30">
      <x:c r="A30" s="187" t="str">
        <x:v>Net cash outflow from investing activities</x:v>
      </x:c>
      <x:c r="B30" s="180" t="n">
        <x:v>-5055</x:v>
      </x:c>
      <x:c r="C30" s="181" t="n">
        <x:v>-11051</x:v>
      </x:c>
      <x:c r="D30" s="180" t="n">
        <x:v>-9591</x:v>
      </x:c>
      <x:c r="E30" s="181" t="n">
        <x:v>-16562</x:v>
      </x:c>
      <x:c r="F30" s="180" t="n">
        <x:v>-4753</x:v>
      </x:c>
    </x:row>
    <x:row r="31">
      <x:c r="A31" s="185" t="str">
        <x:v>CASH FLOWS FROM FINANCING ACTIVITIES</x:v>
      </x:c>
      <x:c r="B31" s="174"/>
      <x:c r="C31" s="175"/>
      <x:c r="D31" s="174"/>
      <x:c r="E31" s="175"/>
      <x:c r="F31" s="174"/>
    </x:row>
    <x:row r="32">
      <x:c r="A32" s="186" t="str">
        <x:v>Acquisition of Royal Bafokeng Platinum from non-controlling interests</x:v>
      </x:c>
      <x:c r="B32" s="177" t="n">
        <x:v>0</x:v>
      </x:c>
      <x:c r="C32" s="178" t="n">
        <x:v>-11431</x:v>
      </x:c>
      <x:c r="D32" s="177" t="n">
        <x:v>-275</x:v>
      </x:c>
      <x:c r="E32" s="178" t="n">
        <x:v>0</x:v>
      </x:c>
      <x:c r="F32" s="177" t="n">
        <x:v>0</x:v>
      </x:c>
    </x:row>
    <x:row r="33">
      <x:c r="A33" s="186" t="str">
        <x:v>Purchase of shares for the long-term incentive plans</x:v>
      </x:c>
      <x:c r="B33" s="177" t="n">
        <x:v>-592</x:v>
      </x:c>
      <x:c r="C33" s="178" t="n">
        <x:v>-439</x:v>
      </x:c>
      <x:c r="D33" s="177" t="n">
        <x:v>-384</x:v>
      </x:c>
      <x:c r="E33" s="178" t="n">
        <x:v>-867</x:v>
      </x:c>
      <x:c r="F33" s="177" t="n">
        <x:v>-1613</x:v>
      </x:c>
    </x:row>
    <x:row r="34">
      <x:c r="A34" s="186" t="str">
        <x:v>Purchase of shares for the odd-lot offer</x:v>
      </x:c>
      <x:c r="B34" s="177" t="n">
        <x:v>0</x:v>
      </x:c>
      <x:c r="C34" s="178" t="n">
        <x:v>0</x:v>
      </x:c>
      <x:c r="D34" s="177" t="n">
        <x:v>0</x:v>
      </x:c>
      <x:c r="E34" s="178" t="n">
        <x:v>0</x:v>
      </x:c>
      <x:c r="F34" s="177" t="n">
        <x:v>-178</x:v>
      </x:c>
    </x:row>
    <x:row r="35">
      <x:c r="A35" s="186" t="str">
        <x:v>Repayments of borrowings</x:v>
      </x:c>
      <x:c r="B35" s="177" t="n">
        <x:v>-45</x:v>
      </x:c>
      <x:c r="C35" s="178" t="n">
        <x:v>-79</x:v>
      </x:c>
      <x:c r="D35" s="177" t="n">
        <x:v>-2</x:v>
      </x:c>
      <x:c r="E35" s="178" t="n">
        <x:v>0</x:v>
      </x:c>
      <x:c r="F35" s="177" t="n">
        <x:v>-5061</x:v>
      </x:c>
    </x:row>
    <x:row r="36">
      <x:c r="A36" s="186" t="str">
        <x:v>Proceeds from borrowings net of transaction costs</x:v>
      </x:c>
      <x:c r="B36" s="177" t="n">
        <x:v>717</x:v>
      </x:c>
      <x:c r="C36" s="178" t="n">
        <x:v>1123</x:v>
      </x:c>
      <x:c r="D36" s="177" t="n">
        <x:v>0</x:v>
      </x:c>
      <x:c r="E36" s="178" t="n">
        <x:v>0</x:v>
      </x:c>
      <x:c r="F36" s="177" t="n">
        <x:v>873</x:v>
      </x:c>
    </x:row>
    <x:row r="37">
      <x:c r="A37" s="186" t="str">
        <x:v>Repayments of lease liabilities</x:v>
      </x:c>
      <x:c r="B37" s="177" t="n">
        <x:v>-298</x:v>
      </x:c>
      <x:c r="C37" s="178" t="n">
        <x:v>-282</x:v>
      </x:c>
      <x:c r="D37" s="177" t="n">
        <x:v>-295</x:v>
      </x:c>
      <x:c r="E37" s="178" t="n">
        <x:v>-249</x:v>
      </x:c>
      <x:c r="F37" s="177" t="n">
        <x:v>-232</x:v>
      </x:c>
    </x:row>
    <x:row r="38">
      <x:c r="A38" s="186" t="str">
        <x:v>Repurchase of ZAR convertible bonds</x:v>
      </x:c>
      <x:c r="B38" s="177" t="n">
        <x:v>0</x:v>
      </x:c>
      <x:c r="C38" s="178" t="n">
        <x:v>0</x:v>
      </x:c>
      <x:c r="D38" s="177" t="n">
        <x:v>0</x:v>
      </x:c>
      <x:c r="E38" s="178" t="n">
        <x:v>0</x:v>
      </x:c>
      <x:c r="F38" s="177" t="n">
        <x:v>-8641</x:v>
      </x:c>
    </x:row>
    <x:row r="39">
      <x:c r="A39" s="186" t="str">
        <x:v>Cash received from cancellation of cross-currency interest rate swap</x:v>
      </x:c>
      <x:c r="B39" s="177" t="n">
        <x:v>0</x:v>
      </x:c>
      <x:c r="C39" s="178" t="n">
        <x:v>0</x:v>
      </x:c>
      <x:c r="D39" s="177" t="n">
        <x:v>0</x:v>
      </x:c>
      <x:c r="E39" s="178" t="n">
        <x:v>0</x:v>
      </x:c>
      <x:c r="F39" s="177" t="n">
        <x:v>0</x:v>
      </x:c>
    </x:row>
    <x:row r="40">
      <x:c r="A40" s="186" t="str">
        <x:v>Invitation premium paid on US$ bond conversion</x:v>
      </x:c>
      <x:c r="B40" s="177" t="n">
        <x:v>0</x:v>
      </x:c>
      <x:c r="C40" s="178" t="n">
        <x:v>0</x:v>
      </x:c>
      <x:c r="D40" s="177" t="n">
        <x:v>0</x:v>
      </x:c>
      <x:c r="E40" s="178" t="n">
        <x:v>0</x:v>
      </x:c>
      <x:c r="F40" s="177" t="n">
        <x:v>0</x:v>
      </x:c>
    </x:row>
    <x:row r="41">
      <x:c r="A41" s="186" t="str">
        <x:v>Dividends paid to shareholders of the Company</x:v>
      </x:c>
      <x:c r="B41" s="177" t="n">
        <x:v>0</x:v>
      </x:c>
      <x:c r="C41" s="178" t="n">
        <x:v>-1487</x:v>
      </x:c>
      <x:c r="D41" s="177" t="n">
        <x:v>-12466</x:v>
      </x:c>
      <x:c r="E41" s="178" t="n">
        <x:v>-14395</x:v>
      </x:c>
      <x:c r="F41" s="177" t="n">
        <x:v>-11041</x:v>
      </x:c>
    </x:row>
    <x:row r="42">
      <x:c r="A42" s="186" t="str">
        <x:v>Dividends paid to non-controlling interests</x:v>
      </x:c>
      <x:c r="B42" s="177" t="n">
        <x:v>-12</x:v>
      </x:c>
      <x:c r="C42" s="178" t="n">
        <x:v>-304</x:v>
      </x:c>
      <x:c r="D42" s="177" t="n">
        <x:v>-1176</x:v>
      </x:c>
      <x:c r="E42" s="178" t="n">
        <x:v>-394</x:v>
      </x:c>
      <x:c r="F42" s="177" t="n">
        <x:v>-177</x:v>
      </x:c>
    </x:row>
    <x:row r="43">
      <x:c r="A43" s="187" t="str">
        <x:v>Net cash outflow from financing activities</x:v>
      </x:c>
      <x:c r="B43" s="180" t="n">
        <x:v>-230</x:v>
      </x:c>
      <x:c r="C43" s="181" t="n">
        <x:v>-12899</x:v>
      </x:c>
      <x:c r="D43" s="180" t="n">
        <x:v>-14598</x:v>
      </x:c>
      <x:c r="E43" s="181" t="n">
        <x:v>-15905</x:v>
      </x:c>
      <x:c r="F43" s="180" t="n">
        <x:v>-26070</x:v>
      </x:c>
    </x:row>
    <x:row r="44">
      <x:c r="A44" s="187" t="str">
        <x:v>Net increase/(decrease) in cash and cash equivalents</x:v>
      </x:c>
      <x:c r="B44" s="180" t="n">
        <x:v>2081</x:v>
      </x:c>
      <x:c r="C44" s="181" t="n">
        <x:v>-17009</x:v>
      </x:c>
      <x:c r="D44" s="180" t="n">
        <x:v>-620</x:v>
      </x:c>
      <x:c r="E44" s="181" t="n">
        <x:v>2472</x:v>
      </x:c>
      <x:c r="F44" s="180" t="n">
        <x:v>11011</x:v>
      </x:c>
    </x:row>
    <x:row r="45">
      <x:c r="A45" s="186" t="str">
        <x:v>Cash and cash equivalents at the beginning of the year</x:v>
      </x:c>
      <x:c r="B45" s="177" t="n">
        <x:v>9629</x:v>
      </x:c>
      <x:c r="C45" s="178" t="n">
        <x:v>26820</x:v>
      </x:c>
      <x:c r="D45" s="177" t="n">
        <x:v>26505</x:v>
      </x:c>
      <x:c r="E45" s="178" t="n">
        <x:v>23474</x:v>
      </x:c>
      <x:c r="F45" s="177" t="n">
        <x:v>13205</x:v>
      </x:c>
    </x:row>
    <x:row r="46">
      <x:c r="A46" s="186" t="str">
        <x:v>Effect of exchange rate changes on cash and cash equivalents held in foreign currencies</x:v>
      </x:c>
      <x:c r="B46" s="177" t="n">
        <x:v>-82</x:v>
      </x:c>
      <x:c r="C46" s="178" t="n">
        <x:v>-182</x:v>
      </x:c>
      <x:c r="D46" s="177" t="n">
        <x:v>935</x:v>
      </x:c>
      <x:c r="E46" s="178" t="n">
        <x:v>559</x:v>
      </x:c>
      <x:c r="F46" s="177" t="n">
        <x:v>-742</x:v>
      </x:c>
    </x:row>
    <x:row r="47">
      <x:c r="A47" s="187" t="str">
        <x:v>Cash and cash equivalents at the end of the year</x:v>
      </x:c>
      <x:c r="B47" s="180" t="n">
        <x:v>11628</x:v>
      </x:c>
      <x:c r="C47" s="181" t="n">
        <x:v>9629</x:v>
      </x:c>
      <x:c r="D47" s="180" t="n">
        <x:v>26820</x:v>
      </x:c>
      <x:c r="E47" s="181" t="n">
        <x:v>26505</x:v>
      </x:c>
      <x:c r="F47" s="180" t="n">
        <x:v>23474</x:v>
      </x:c>
    </x:row>
  </x:sheetData>
  <x:mergeCells>
    <x:mergeCell ref="A1:F1"/>
  </x:mergeCells>
  <x:pageMargins left="0.7" right="0.7" top="0.75" bottom="0.75" header="0.3" footer="0.3"/>
</x:worksheet>
</file>