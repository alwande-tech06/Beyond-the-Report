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azimulo\Downloads\"/>
    </mc:Choice>
  </mc:AlternateContent>
  <xr:revisionPtr revIDLastSave="0" documentId="8_{17C49407-1211-4E77-A6DC-9148DBBC8102}" xr6:coauthVersionLast="36" xr6:coauthVersionMax="36" xr10:uidLastSave="{00000000-0000-0000-0000-000000000000}"/>
  <bookViews>
    <workbookView xWindow="0" yWindow="0" windowWidth="20490" windowHeight="7125" activeTab="2" xr2:uid="{5F95447B-50C5-41E4-B4F9-F43EB91D659B}"/>
  </bookViews>
  <sheets>
    <sheet name="Income Statement" sheetId="1" r:id="rId1"/>
    <sheet name="SOFP" sheetId="2" r:id="rId2"/>
    <sheet name="SOCF" sheetId="3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2" l="1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8" i="2"/>
  <c r="B8" i="2"/>
  <c r="C7" i="2"/>
  <c r="B7" i="2"/>
  <c r="C6" i="2"/>
  <c r="B6" i="2"/>
  <c r="C5" i="2"/>
  <c r="B5" i="2"/>
  <c r="C4" i="2"/>
  <c r="B4" i="2"/>
  <c r="B3" i="2"/>
  <c r="C3" i="2"/>
  <c r="D30" i="2"/>
  <c r="D29" i="2"/>
  <c r="D28" i="2"/>
  <c r="D27" i="2"/>
  <c r="D25" i="2"/>
  <c r="D26" i="2"/>
  <c r="D24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7" i="2"/>
  <c r="D6" i="2"/>
  <c r="D5" i="2"/>
  <c r="D4" i="2"/>
  <c r="D3" i="2"/>
  <c r="E30" i="2"/>
  <c r="E29" i="2"/>
  <c r="E28" i="2"/>
  <c r="E26" i="2"/>
  <c r="E25" i="2"/>
  <c r="E24" i="2"/>
  <c r="E22" i="2"/>
  <c r="E21" i="2"/>
  <c r="E20" i="2"/>
  <c r="E19" i="2"/>
  <c r="E18" i="2"/>
  <c r="E17" i="2"/>
  <c r="E16" i="2"/>
  <c r="E15" i="2"/>
  <c r="E13" i="2"/>
  <c r="E12" i="2"/>
  <c r="E11" i="2"/>
  <c r="E10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<sst xmlns="http://schemas.openxmlformats.org/spreadsheetml/2006/main" count="175" uniqueCount="149">
  <si>
    <t xml:space="preserve">Figures in millions unless otherwise stated                                                                                                                        </t>
  </si>
  <si>
    <t>Dec 2021
(Reviewed)</t>
  </si>
  <si>
    <t>Dec 2020
(Audited)</t>
  </si>
  <si>
    <t>Revenue</t>
  </si>
  <si>
    <t>Cost of sales</t>
  </si>
  <si>
    <t>Cost of sales before amortisation and depreciation</t>
  </si>
  <si>
    <t>Cost of sales before gold inventory change and amortisation and depreciation</t>
  </si>
  <si>
    <t>Gold inventory change</t>
  </si>
  <si>
    <t>Amortisation and depreciation</t>
  </si>
  <si>
    <t>Net interest expense</t>
  </si>
  <si>
    <t>Equity accounted loss, after taxation</t>
  </si>
  <si>
    <t>Share of results of equity accounted investees, after taxation</t>
  </si>
  <si>
    <t>Share of results of equity accounted investees – Asanko impairment</t>
  </si>
  <si>
    <t>(Loss)/gain on foreign exchange</t>
  </si>
  <si>
    <t>Loss on financial instruments</t>
  </si>
  <si>
    <t>Share-based payments</t>
  </si>
  <si>
    <t>Long-term incentive plan</t>
  </si>
  <si>
    <t>Other costs, net</t>
  </si>
  <si>
    <t>Exploration expenses</t>
  </si>
  <si>
    <t>Profit before royalties, taxation and non-recurring items</t>
  </si>
  <si>
    <t>Non-recurring items</t>
  </si>
  <si>
    <t>Profit before royalties and taxation</t>
  </si>
  <si>
    <t>Royalties</t>
  </si>
  <si>
    <t>Profit before taxation</t>
  </si>
  <si>
    <t>Mining and income taxation</t>
  </si>
  <si>
    <t>Normal taxation</t>
  </si>
  <si>
    <t>Deferred taxation</t>
  </si>
  <si>
    <t>Profit for the year</t>
  </si>
  <si>
    <t>Owners of the parent</t>
  </si>
  <si>
    <t>—</t>
  </si>
  <si>
    <t>Statement of Financial Position</t>
  </si>
  <si>
    <r>
      <t xml:space="preserve">
</t>
    </r>
    <r>
      <rPr>
        <i/>
        <sz val="8"/>
        <color rgb="FF4A4A48"/>
        <rFont val="Arial"/>
        <family val="1"/>
        <charset val="204"/>
      </rPr>
      <t xml:space="preserve">Figures in millions unless otherwise stated                                                                                                                        </t>
    </r>
  </si>
  <si>
    <t>Non-current assets</t>
  </si>
  <si>
    <t>Property, plant and equipment</t>
  </si>
  <si>
    <t>Other non-current assets</t>
  </si>
  <si>
    <t>Equity accounted investees</t>
  </si>
  <si>
    <t>Investments</t>
  </si>
  <si>
    <t>Loan advanced – contractors</t>
  </si>
  <si>
    <t>Long-term financial assets</t>
  </si>
  <si>
    <t>Current assets</t>
  </si>
  <si>
    <t>Other current assets</t>
  </si>
  <si>
    <t>Cash and cash equivalents</t>
  </si>
  <si>
    <t>Assets held for sale</t>
  </si>
  <si>
    <t>Total assets</t>
  </si>
  <si>
    <t>Total equity</t>
  </si>
  <si>
    <t>Non-current liabilities</t>
  </si>
  <si>
    <t>Borrowings</t>
  </si>
  <si>
    <t>Environmental rehabilitation provisions</t>
  </si>
  <si>
    <t>Lease liabilities</t>
  </si>
  <si>
    <t>Long-term employee benefits</t>
  </si>
  <si>
    <t>Long-term financial liabilities</t>
  </si>
  <si>
    <t>Other long-term provisions</t>
  </si>
  <si>
    <t>Current liabilities</t>
  </si>
  <si>
    <t>Other current liabilities</t>
  </si>
  <si>
    <t>Current portion of borrowings</t>
  </si>
  <si>
    <t>Current portion of employee benefits</t>
  </si>
  <si>
    <t>Current portion of lease liabilities</t>
  </si>
  <si>
    <t>Total equity and liabilities</t>
  </si>
  <si>
    <t>Statement of Cash Flows</t>
  </si>
  <si>
    <t>Cash flows from operating activities</t>
  </si>
  <si>
    <t>Silicosis payment</t>
  </si>
  <si>
    <t>Payment of long-term employee benefits</t>
  </si>
  <si>
    <t>Other non-cash items</t>
  </si>
  <si>
    <t>South Deep BEE dividend</t>
  </si>
  <si>
    <t>Change in working capital</t>
  </si>
  <si>
    <t>Royalties and taxation paid</t>
  </si>
  <si>
    <t>Dividends paid</t>
  </si>
  <si>
    <t>Non-controlling interest holders</t>
  </si>
  <si>
    <t>Cash flows from investing activities</t>
  </si>
  <si>
    <t>Capital expenditure – additions</t>
  </si>
  <si>
    <t>Capital expenditure – working capital</t>
  </si>
  <si>
    <t>Proceeds on disposal of property, plant and equipment</t>
  </si>
  <si>
    <t>Purchase of investments</t>
  </si>
  <si>
    <t>Redemption of Asanko Preference shares</t>
  </si>
  <si>
    <t>Proceeds on disposal of investments</t>
  </si>
  <si>
    <t>Contributions to environmental trust funds</t>
  </si>
  <si>
    <t>Cash flows from financing activities</t>
  </si>
  <si>
    <t>Loans received</t>
  </si>
  <si>
    <t>Loans repaid</t>
  </si>
  <si>
    <t>Payment of lease liabilities</t>
  </si>
  <si>
    <t>Shares issued</t>
  </si>
  <si>
    <t>Net cash (utilised)/generated</t>
  </si>
  <si>
    <t>Translation adjustment</t>
  </si>
  <si>
    <t>Cash and cash equivalent at beginning of the year</t>
  </si>
  <si>
    <t>Cash and cash equivalent at end of the year</t>
  </si>
  <si>
    <r>
      <t xml:space="preserve">
</t>
    </r>
    <r>
      <rPr>
        <b/>
        <sz val="18"/>
        <color indexed="56"/>
        <rFont val="Arial"/>
        <family val="1"/>
        <charset val="204"/>
      </rPr>
      <t>Income Statement</t>
    </r>
  </si>
  <si>
    <t>1,713.9</t>
  </si>
  <si>
    <t>1,274.2</t>
  </si>
  <si>
    <t>844.3</t>
  </si>
  <si>
    <t>(0.7)</t>
  </si>
  <si>
    <t>(32.4)</t>
  </si>
  <si>
    <t>487.6</t>
  </si>
  <si>
    <t>(0.9)</t>
  </si>
  <si>
    <t>(134.2)</t>
  </si>
  <si>
    <t>(724.0)</t>
  </si>
  <si>
    <t>(334.7)</t>
  </si>
  <si>
    <t>(304.4)</t>
  </si>
  <si>
    <t>(30.3)</t>
  </si>
  <si>
    <t>(1,072.2)</t>
  </si>
  <si>
    <t>(1,069.3)</t>
  </si>
  <si>
    <t>26.3</t>
  </si>
  <si>
    <t>2.0</t>
  </si>
  <si>
    <t>(21.6)</t>
  </si>
  <si>
    <t>1.5</t>
  </si>
  <si>
    <t>(11.1)</t>
  </si>
  <si>
    <t>(56.9)</t>
  </si>
  <si>
    <t>206.5</t>
  </si>
  <si>
    <t>(197.9)</t>
  </si>
  <si>
    <t>(65.5)</t>
  </si>
  <si>
    <t>250.1</t>
  </si>
  <si>
    <t>(5.4)</t>
  </si>
  <si>
    <t>524.7</t>
  </si>
  <si>
    <t>769.4</t>
  </si>
  <si>
    <t xml:space="preserve">Dec 2021
</t>
  </si>
  <si>
    <t xml:space="preserve">Dec 2020
</t>
  </si>
  <si>
    <t>DEC 2025</t>
  </si>
  <si>
    <t>DEC 2024</t>
  </si>
  <si>
    <t>DEC2023</t>
  </si>
  <si>
    <t>DEC 2022</t>
  </si>
  <si>
    <t>DEC 2023</t>
  </si>
  <si>
    <t>Investment income</t>
  </si>
  <si>
    <t>4,286.7</t>
  </si>
  <si>
    <t>(2,607.7)</t>
  </si>
  <si>
    <t>(1,763.4)</t>
  </si>
  <si>
    <t>(1,931.5)</t>
  </si>
  <si>
    <t>168.1</t>
  </si>
  <si>
    <t>(844.3)</t>
  </si>
  <si>
    <t>(72.5)</t>
  </si>
  <si>
    <t>10.1</t>
  </si>
  <si>
    <t>6.7</t>
  </si>
  <si>
    <t>24.0</t>
  </si>
  <si>
    <t>(6.9)</t>
  </si>
  <si>
    <t>(29.0)</t>
  </si>
  <si>
    <t>(24.4)</t>
  </si>
  <si>
    <t>(81.0)</t>
  </si>
  <si>
    <t>1,519.3</t>
  </si>
  <si>
    <t>(245.1)</t>
  </si>
  <si>
    <t>(110.4)</t>
  </si>
  <si>
    <t>1,163.8</t>
  </si>
  <si>
    <t>(442.1)</t>
  </si>
  <si>
    <t>(475.1)</t>
  </si>
  <si>
    <t>33.0</t>
  </si>
  <si>
    <t>721.7</t>
  </si>
  <si>
    <t>Purchase of Osisko2</t>
  </si>
  <si>
    <t>Purchase of equity-accounted investee - Windfall Project</t>
  </si>
  <si>
    <t>Windfall Project capital contributions</t>
  </si>
  <si>
    <t>Proceeds on disposal of Rusoro</t>
  </si>
  <si>
    <t>Proceeds on disposal of Asanko Gold</t>
  </si>
  <si>
    <t>Purchase of treasury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</si>
</sst>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#,##0.0_);\(#,##0.0\)"/>
    <numFmt numFmtId="167" formatCode="_-* #,##0.0_-;\-* #,##0.0_-;_-* &quot;-&quot;??_-;_-@_-"/>
  </numFmts>
  <fonts count="14" x14ac:knownFonts="1">
    <font>
      <sz val="11"/>
      <color theme="1"/>
      <name val="Calibri"/>
      <family val="2"/>
      <scheme val="minor"/>
    </font>
    <font>
      <sz val="12"/>
      <color indexed="63"/>
      <name val="Arial"/>
      <family val="1"/>
      <charset val="204"/>
    </font>
    <font>
      <b/>
      <sz val="18"/>
      <color indexed="56"/>
      <name val="Arial"/>
      <family val="1"/>
      <charset val="204"/>
    </font>
    <font>
      <sz val="10"/>
      <name val="Times New Roman"/>
      <family val="1"/>
      <charset val="204"/>
    </font>
    <font>
      <b/>
      <sz val="8"/>
      <color rgb="FFC5A56A"/>
      <name val="Arial"/>
      <family val="2"/>
    </font>
    <font>
      <b/>
      <sz val="8"/>
      <color indexed="55"/>
      <name val="Arial"/>
      <family val="2"/>
    </font>
    <font>
      <i/>
      <sz val="8"/>
      <color rgb="FF4A4A48"/>
      <name val="Arial"/>
      <family val="1"/>
      <charset val="204"/>
    </font>
    <font>
      <b/>
      <sz val="8"/>
      <color rgb="FF4A4A48"/>
      <name val="Arial"/>
      <family val="1"/>
      <charset val="204"/>
    </font>
    <font>
      <sz val="8"/>
      <color rgb="FF4A4A48"/>
      <name val="Arial"/>
      <family val="2"/>
    </font>
    <font>
      <b/>
      <sz val="8"/>
      <color rgb="FF4A4A48"/>
      <name val="Arial"/>
      <family val="2"/>
    </font>
    <font>
      <sz val="11"/>
      <color rgb="FF4A4A4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Arial"/>
      <family val="2"/>
    </font>
    <font>
      <sz val="7.5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E9F1"/>
        <bgColor indexed="64"/>
      </patternFill>
    </fill>
    <fill>
      <patternFill patternType="solid">
        <fgColor rgb="FFF7F4F0"/>
        <bgColor indexed="64"/>
      </patternFill>
    </fill>
    <fill>
      <patternFill patternType="solid">
        <fgColor rgb="FFF7F4F1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F7F4F0"/>
      </bottom>
      <diagonal/>
    </border>
    <border>
      <left/>
      <right style="thin">
        <color rgb="FFB6B6B6"/>
      </right>
      <top style="thin">
        <color rgb="FFB6B6B6"/>
      </top>
      <bottom style="thin">
        <color rgb="FFB6B6B6"/>
      </bottom>
      <diagonal/>
    </border>
    <border>
      <left/>
      <right style="thin">
        <color rgb="FFB6B6B6"/>
      </right>
      <top style="thin">
        <color rgb="FFB6B6B6"/>
      </top>
      <bottom/>
      <diagonal/>
    </border>
    <border>
      <left/>
      <right style="thin">
        <color rgb="FFB6B6B6"/>
      </right>
      <top/>
      <bottom style="thin">
        <color rgb="FFB6B6B6"/>
      </bottom>
      <diagonal/>
    </border>
    <border>
      <left/>
      <right/>
      <top/>
      <bottom style="thin">
        <color rgb="FFB6B6B6"/>
      </bottom>
      <diagonal/>
    </border>
    <border>
      <left/>
      <right/>
      <top style="thin">
        <color rgb="FFF7F4F0"/>
      </top>
      <bottom/>
      <diagonal/>
    </border>
    <border>
      <left/>
      <right style="thin">
        <color rgb="FFB6B6B6"/>
      </right>
      <top/>
      <bottom/>
      <diagonal/>
    </border>
    <border>
      <left/>
      <right/>
      <top style="thin">
        <color rgb="FFB6B6B6"/>
      </top>
      <bottom/>
      <diagonal/>
    </border>
    <border>
      <left/>
      <right/>
      <top style="thin">
        <color rgb="FFB6B6B6"/>
      </top>
      <bottom style="thin">
        <color rgb="FFB6B6B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4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vertical="center" wrapText="1"/>
    </xf>
    <xf numFmtId="0" fontId="6" fillId="3" borderId="0" xfId="0" applyFont="1" applyFill="1" applyAlignment="1">
      <alignment wrapText="1"/>
    </xf>
    <xf numFmtId="17" fontId="7" fillId="3" borderId="0" xfId="0" quotePrefix="1" applyNumberFormat="1" applyFont="1" applyFill="1" applyAlignment="1">
      <alignment horizontal="center" vertical="top" wrapText="1"/>
    </xf>
    <xf numFmtId="17" fontId="8" fillId="3" borderId="0" xfId="0" quotePrefix="1" applyNumberFormat="1" applyFont="1" applyFill="1" applyAlignment="1">
      <alignment horizontal="center" vertical="top" wrapText="1"/>
    </xf>
    <xf numFmtId="0" fontId="3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wrapText="1"/>
    </xf>
    <xf numFmtId="165" fontId="8" fillId="2" borderId="3" xfId="0" applyNumberFormat="1" applyFont="1" applyFill="1" applyBorder="1" applyAlignment="1">
      <alignment horizontal="right" vertical="center" shrinkToFit="1"/>
    </xf>
    <xf numFmtId="165" fontId="8" fillId="2" borderId="4" xfId="0" applyNumberFormat="1" applyFont="1" applyFill="1" applyBorder="1" applyAlignment="1">
      <alignment horizontal="right" vertical="center" shrinkToFit="1"/>
    </xf>
    <xf numFmtId="165" fontId="9" fillId="5" borderId="0" xfId="0" applyNumberFormat="1" applyFont="1" applyFill="1" applyAlignment="1">
      <alignment horizontal="right" vertical="center" shrinkToFit="1"/>
    </xf>
    <xf numFmtId="165" fontId="8" fillId="2" borderId="0" xfId="0" applyNumberFormat="1" applyFont="1" applyFill="1" applyAlignment="1">
      <alignment horizontal="right" vertical="center" shrinkToFit="1"/>
    </xf>
    <xf numFmtId="165" fontId="9" fillId="5" borderId="5" xfId="0" applyNumberFormat="1" applyFont="1" applyFill="1" applyBorder="1" applyAlignment="1">
      <alignment horizontal="right" vertical="center" shrinkToFit="1"/>
    </xf>
    <xf numFmtId="0" fontId="9" fillId="2" borderId="5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2" fillId="2" borderId="0" xfId="0" applyFont="1" applyFill="1" applyAlignment="1">
      <alignment vertical="center" wrapText="1"/>
    </xf>
    <xf numFmtId="0" fontId="7" fillId="3" borderId="0" xfId="0" applyFont="1" applyFill="1" applyAlignment="1">
      <alignment horizontal="left" vertical="top" wrapText="1"/>
    </xf>
    <xf numFmtId="167" fontId="9" fillId="5" borderId="5" xfId="1" applyNumberFormat="1" applyFont="1" applyFill="1" applyBorder="1" applyAlignment="1">
      <alignment horizontal="right" vertical="center" shrinkToFit="1"/>
    </xf>
    <xf numFmtId="167" fontId="8" fillId="2" borderId="5" xfId="1" applyNumberFormat="1" applyFont="1" applyFill="1" applyBorder="1" applyAlignment="1">
      <alignment horizontal="right" vertical="center" shrinkToFit="1"/>
    </xf>
    <xf numFmtId="165" fontId="8" fillId="2" borderId="7" xfId="0" applyNumberFormat="1" applyFont="1" applyFill="1" applyBorder="1" applyAlignment="1">
      <alignment horizontal="right" vertical="center" shrinkToFit="1"/>
    </xf>
    <xf numFmtId="167" fontId="8" fillId="2" borderId="4" xfId="1" applyNumberFormat="1" applyFont="1" applyFill="1" applyBorder="1" applyAlignment="1">
      <alignment horizontal="right" vertical="center" shrinkToFit="1"/>
    </xf>
    <xf numFmtId="0" fontId="9" fillId="2" borderId="9" xfId="0" applyFont="1" applyFill="1" applyBorder="1" applyAlignment="1">
      <alignment horizontal="left" vertical="center" wrapText="1"/>
    </xf>
    <xf numFmtId="167" fontId="9" fillId="5" borderId="9" xfId="1" applyNumberFormat="1" applyFont="1" applyFill="1" applyBorder="1" applyAlignment="1">
      <alignment horizontal="right" vertical="center" shrinkToFit="1"/>
    </xf>
    <xf numFmtId="167" fontId="8" fillId="2" borderId="9" xfId="1" applyNumberFormat="1" applyFont="1" applyFill="1" applyBorder="1" applyAlignment="1">
      <alignment horizontal="right" vertical="center" shrinkToFit="1"/>
    </xf>
    <xf numFmtId="167" fontId="8" fillId="2" borderId="7" xfId="1" applyNumberFormat="1" applyFont="1" applyFill="1" applyBorder="1" applyAlignment="1">
      <alignment horizontal="right" vertical="center" shrinkToFit="1"/>
    </xf>
    <xf numFmtId="0" fontId="12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165" fontId="9" fillId="5" borderId="9" xfId="0" applyNumberFormat="1" applyFont="1" applyFill="1" applyBorder="1" applyAlignment="1">
      <alignment horizontal="right" vertical="center" shrinkToFit="1"/>
    </xf>
    <xf numFmtId="165" fontId="8" fillId="2" borderId="9" xfId="0" applyNumberFormat="1" applyFont="1" applyFill="1" applyBorder="1" applyAlignment="1">
      <alignment horizontal="right" vertical="center" shrinkToFit="1"/>
    </xf>
    <xf numFmtId="0" fontId="1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center" vertical="center" wrapText="1"/>
    </xf>
    <xf numFmtId="2" fontId="9" fillId="2" borderId="0" xfId="0" applyNumberFormat="1" applyFont="1" applyFill="1" applyAlignment="1">
      <alignment horizontal="left" vertical="center" wrapText="1"/>
    </xf>
    <xf numFmtId="165" fontId="9" fillId="5" borderId="8" xfId="0" applyNumberFormat="1" applyFont="1" applyFill="1" applyBorder="1" applyAlignment="1">
      <alignment horizontal="right" vertical="center" shrinkToFit="1"/>
    </xf>
    <xf numFmtId="165" fontId="9" fillId="5" borderId="0" xfId="0" applyNumberFormat="1" applyFont="1" applyFill="1" applyBorder="1" applyAlignment="1">
      <alignment horizontal="right" vertical="center" shrinkToFit="1"/>
    </xf>
    <xf numFmtId="167" fontId="9" fillId="5" borderId="0" xfId="1" applyNumberFormat="1" applyFont="1" applyFill="1" applyBorder="1" applyAlignment="1">
      <alignment horizontal="right" vertical="center" shrinkToFit="1"/>
    </xf>
    <xf numFmtId="0" fontId="8" fillId="2" borderId="10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8" fillId="2" borderId="16" xfId="0" applyFont="1" applyFill="1" applyBorder="1" applyAlignment="1">
      <alignment horizontal="left" vertical="center" wrapText="1"/>
    </xf>
    <xf numFmtId="2" fontId="8" fillId="2" borderId="11" xfId="0" applyNumberFormat="1" applyFont="1" applyFill="1" applyBorder="1" applyAlignment="1">
      <alignment horizontal="left" vertical="center" wrapText="1"/>
    </xf>
    <xf numFmtId="2" fontId="8" fillId="2" borderId="12" xfId="0" applyNumberFormat="1" applyFont="1" applyFill="1" applyBorder="1" applyAlignment="1">
      <alignment horizontal="left" vertical="center" wrapText="1"/>
    </xf>
    <xf numFmtId="2" fontId="8" fillId="2" borderId="15" xfId="0" applyNumberFormat="1" applyFont="1" applyFill="1" applyBorder="1" applyAlignment="1">
      <alignment horizontal="left" vertical="center" wrapText="1"/>
    </xf>
    <xf numFmtId="2" fontId="8" fillId="2" borderId="16" xfId="0" applyNumberFormat="1" applyFont="1" applyFill="1" applyBorder="1" applyAlignment="1">
      <alignment horizontal="left" vertical="center" wrapText="1"/>
    </xf>
    <xf numFmtId="2" fontId="8" fillId="2" borderId="13" xfId="0" applyNumberFormat="1" applyFont="1" applyFill="1" applyBorder="1" applyAlignment="1">
      <alignment horizontal="left" vertical="center" wrapText="1"/>
    </xf>
    <xf numFmtId="2" fontId="8" fillId="2" borderId="14" xfId="0" applyNumberFormat="1" applyFont="1" applyFill="1" applyBorder="1" applyAlignment="1">
      <alignment horizontal="left" vertical="center" wrapText="1"/>
    </xf>
    <xf numFmtId="2" fontId="9" fillId="5" borderId="8" xfId="0" applyNumberFormat="1" applyFont="1" applyFill="1" applyBorder="1" applyAlignment="1">
      <alignment horizontal="right" vertical="center" shrinkToFit="1"/>
    </xf>
    <xf numFmtId="2" fontId="8" fillId="2" borderId="3" xfId="0" applyNumberFormat="1" applyFont="1" applyFill="1" applyBorder="1" applyAlignment="1">
      <alignment horizontal="right" vertical="center" shrinkToFit="1"/>
    </xf>
    <xf numFmtId="2" fontId="9" fillId="5" borderId="0" xfId="1" applyNumberFormat="1" applyFont="1" applyFill="1" applyBorder="1" applyAlignment="1">
      <alignment horizontal="right" vertical="center" shrinkToFit="1"/>
    </xf>
    <xf numFmtId="2" fontId="8" fillId="2" borderId="7" xfId="1" applyNumberFormat="1" applyFont="1" applyFill="1" applyBorder="1" applyAlignment="1">
      <alignment horizontal="right" vertical="center" shrinkToFit="1"/>
    </xf>
    <xf numFmtId="2" fontId="9" fillId="5" borderId="0" xfId="0" applyNumberFormat="1" applyFont="1" applyFill="1" applyBorder="1" applyAlignment="1">
      <alignment horizontal="right" vertical="center" shrinkToFit="1"/>
    </xf>
    <xf numFmtId="2" fontId="8" fillId="2" borderId="7" xfId="0" applyNumberFormat="1" applyFont="1" applyFill="1" applyBorder="1" applyAlignment="1">
      <alignment horizontal="right" vertical="center" shrinkToFit="1"/>
    </xf>
    <xf numFmtId="2" fontId="9" fillId="5" borderId="5" xfId="0" applyNumberFormat="1" applyFont="1" applyFill="1" applyBorder="1" applyAlignment="1">
      <alignment horizontal="right" vertical="center" shrinkToFit="1"/>
    </xf>
    <xf numFmtId="2" fontId="8" fillId="2" borderId="4" xfId="0" applyNumberFormat="1" applyFont="1" applyFill="1" applyBorder="1" applyAlignment="1">
      <alignment horizontal="right" vertical="center" shrinkToFit="1"/>
    </xf>
    <xf numFmtId="2" fontId="9" fillId="4" borderId="6" xfId="1" applyNumberFormat="1" applyFont="1" applyFill="1" applyBorder="1" applyAlignment="1">
      <alignment horizontal="right" vertical="center" wrapText="1"/>
    </xf>
    <xf numFmtId="2" fontId="8" fillId="2" borderId="0" xfId="1" applyNumberFormat="1" applyFont="1" applyFill="1" applyAlignment="1">
      <alignment horizontal="right" vertical="center" wrapText="1"/>
    </xf>
    <xf numFmtId="2" fontId="9" fillId="2" borderId="9" xfId="0" applyNumberFormat="1" applyFont="1" applyFill="1" applyBorder="1" applyAlignment="1">
      <alignment horizontal="left" vertical="center" wrapText="1"/>
    </xf>
    <xf numFmtId="2" fontId="9" fillId="5" borderId="9" xfId="1" applyNumberFormat="1" applyFont="1" applyFill="1" applyBorder="1" applyAlignment="1">
      <alignment horizontal="right" vertical="center" shrinkToFit="1"/>
    </xf>
    <xf numFmtId="2" fontId="8" fillId="2" borderId="9" xfId="1" applyNumberFormat="1" applyFont="1" applyFill="1" applyBorder="1" applyAlignment="1">
      <alignment horizontal="right" vertical="center" shrinkToFit="1"/>
    </xf>
    <xf numFmtId="2" fontId="9" fillId="5" borderId="0" xfId="0" applyNumberFormat="1" applyFont="1" applyFill="1" applyAlignment="1">
      <alignment horizontal="right" vertical="center" shrinkToFit="1"/>
    </xf>
    <xf numFmtId="2" fontId="8" fillId="2" borderId="0" xfId="0" applyNumberFormat="1" applyFont="1" applyFill="1" applyAlignment="1">
      <alignment horizontal="right" vertical="center" shrinkToFit="1"/>
    </xf>
    <xf numFmtId="17" fontId="7" fillId="3" borderId="0" xfId="0" quotePrefix="1" applyNumberFormat="1" applyFont="1" applyFill="1" applyAlignment="1">
      <alignment horizontal="left" vertical="top" wrapText="1"/>
    </xf>
    <xf numFmtId="0" fontId="6" fillId="3" borderId="0" xfId="0" quotePrefix="1" applyFont="1" applyFill="1" applyAlignment="1">
      <alignment wrapText="1"/>
    </xf>
    <xf numFmtId="165" fontId="8" fillId="2" borderId="0" xfId="0" applyNumberFormat="1" applyFont="1" applyFill="1" applyBorder="1" applyAlignment="1">
      <alignment horizontal="right" vertical="center" shrinkToFit="1"/>
    </xf>
    <xf numFmtId="0" fontId="9" fillId="2" borderId="10" xfId="0" applyFont="1" applyFill="1" applyBorder="1" applyAlignment="1">
      <alignment horizontal="left" vertical="center" wrapText="1"/>
    </xf>
    <xf numFmtId="43" fontId="9" fillId="6" borderId="0" xfId="1" applyNumberFormat="1" applyFont="1" applyFill="1" applyAlignment="1">
      <alignment vertical="center" wrapText="1"/>
    </xf>
    <xf numFmtId="43" fontId="9" fillId="2" borderId="0" xfId="1" applyNumberFormat="1" applyFont="1" applyFill="1" applyAlignment="1">
      <alignment vertical="center" wrapText="1"/>
    </xf>
    <xf numFmtId="43" fontId="9" fillId="4" borderId="1" xfId="1" applyNumberFormat="1" applyFont="1" applyFill="1" applyBorder="1" applyAlignment="1">
      <alignment vertical="center" wrapText="1"/>
    </xf>
    <xf numFmtId="43" fontId="8" fillId="2" borderId="0" xfId="1" applyNumberFormat="1" applyFont="1" applyFill="1" applyAlignment="1">
      <alignment vertical="center" wrapText="1"/>
    </xf>
    <xf numFmtId="43" fontId="8" fillId="6" borderId="19" xfId="1" applyNumberFormat="1" applyFont="1" applyFill="1" applyBorder="1" applyAlignment="1">
      <alignment vertical="center" wrapText="1"/>
    </xf>
    <xf numFmtId="43" fontId="8" fillId="2" borderId="19" xfId="1" applyNumberFormat="1" applyFont="1" applyFill="1" applyBorder="1" applyAlignment="1">
      <alignment vertical="center" wrapText="1"/>
    </xf>
    <xf numFmtId="43" fontId="8" fillId="6" borderId="20" xfId="1" applyNumberFormat="1" applyFont="1" applyFill="1" applyBorder="1" applyAlignment="1">
      <alignment vertical="center" wrapText="1"/>
    </xf>
    <xf numFmtId="43" fontId="8" fillId="2" borderId="10" xfId="1" applyNumberFormat="1" applyFont="1" applyFill="1" applyBorder="1" applyAlignment="1">
      <alignment vertical="center" wrapText="1"/>
    </xf>
    <xf numFmtId="43" fontId="8" fillId="2" borderId="2" xfId="1" applyNumberFormat="1" applyFont="1" applyFill="1" applyBorder="1" applyAlignment="1">
      <alignment vertical="center" shrinkToFit="1"/>
    </xf>
    <xf numFmtId="43" fontId="8" fillId="6" borderId="12" xfId="1" applyNumberFormat="1" applyFont="1" applyFill="1" applyBorder="1" applyAlignment="1">
      <alignment vertical="center" wrapText="1"/>
    </xf>
    <xf numFmtId="43" fontId="8" fillId="2" borderId="17" xfId="1" applyNumberFormat="1" applyFont="1" applyFill="1" applyBorder="1" applyAlignment="1">
      <alignment vertical="center" wrapText="1"/>
    </xf>
    <xf numFmtId="43" fontId="8" fillId="6" borderId="17" xfId="1" applyNumberFormat="1" applyFont="1" applyFill="1" applyBorder="1" applyAlignment="1">
      <alignment vertical="center" wrapText="1"/>
    </xf>
    <xf numFmtId="43" fontId="8" fillId="2" borderId="3" xfId="1" applyNumberFormat="1" applyFont="1" applyFill="1" applyBorder="1" applyAlignment="1">
      <alignment vertical="center" shrinkToFit="1"/>
    </xf>
    <xf numFmtId="43" fontId="8" fillId="6" borderId="16" xfId="1" applyNumberFormat="1" applyFont="1" applyFill="1" applyBorder="1" applyAlignment="1">
      <alignment vertical="center" wrapText="1"/>
    </xf>
    <xf numFmtId="43" fontId="8" fillId="2" borderId="18" xfId="1" applyNumberFormat="1" applyFont="1" applyFill="1" applyBorder="1" applyAlignment="1">
      <alignment vertical="center" wrapText="1"/>
    </xf>
    <xf numFmtId="43" fontId="8" fillId="6" borderId="18" xfId="1" applyNumberFormat="1" applyFont="1" applyFill="1" applyBorder="1" applyAlignment="1">
      <alignment vertical="center" wrapText="1"/>
    </xf>
    <xf numFmtId="43" fontId="8" fillId="2" borderId="4" xfId="1" applyNumberFormat="1" applyFont="1" applyFill="1" applyBorder="1" applyAlignment="1">
      <alignment vertical="center" shrinkToFit="1"/>
    </xf>
    <xf numFmtId="43" fontId="8" fillId="6" borderId="0" xfId="1" applyNumberFormat="1" applyFont="1" applyFill="1" applyAlignment="1">
      <alignment vertical="center" wrapText="1"/>
    </xf>
    <xf numFmtId="43" fontId="8" fillId="2" borderId="0" xfId="1" applyNumberFormat="1" applyFont="1" applyFill="1" applyBorder="1" applyAlignment="1">
      <alignment vertical="center" wrapText="1"/>
    </xf>
    <xf numFmtId="43" fontId="8" fillId="2" borderId="0" xfId="1" applyNumberFormat="1" applyFont="1" applyFill="1" applyBorder="1" applyAlignment="1">
      <alignment vertical="center" shrinkToFit="1"/>
    </xf>
    <xf numFmtId="43" fontId="8" fillId="2" borderId="0" xfId="1" applyNumberFormat="1" applyFont="1" applyFill="1" applyAlignment="1">
      <alignment vertical="center" shrinkToFit="1"/>
    </xf>
    <xf numFmtId="43" fontId="9" fillId="6" borderId="21" xfId="1" applyNumberFormat="1" applyFont="1" applyFill="1" applyBorder="1" applyAlignment="1">
      <alignment vertical="center" wrapText="1"/>
    </xf>
    <xf numFmtId="43" fontId="9" fillId="2" borderId="21" xfId="1" applyNumberFormat="1" applyFont="1" applyFill="1" applyBorder="1" applyAlignment="1">
      <alignment vertical="center" wrapText="1"/>
    </xf>
    <xf numFmtId="43" fontId="9" fillId="4" borderId="21" xfId="1" applyNumberFormat="1" applyFont="1" applyFill="1" applyBorder="1" applyAlignment="1">
      <alignment vertical="center" wrapText="1"/>
    </xf>
    <xf numFmtId="43" fontId="8" fillId="6" borderId="0" xfId="1" applyNumberFormat="1" applyFont="1" applyFill="1" applyBorder="1" applyAlignment="1">
      <alignment vertical="center" wrapText="1"/>
    </xf>
    <xf numFmtId="43" fontId="8" fillId="2" borderId="14" xfId="1" applyNumberFormat="1" applyFont="1" applyFill="1" applyBorder="1" applyAlignment="1">
      <alignment vertical="center" shrinkToFit="1"/>
    </xf>
    <xf numFmtId="43" fontId="8" fillId="6" borderId="22" xfId="1" applyNumberFormat="1" applyFont="1" applyFill="1" applyBorder="1" applyAlignment="1">
      <alignment vertical="center" wrapText="1"/>
    </xf>
    <xf numFmtId="43" fontId="8" fillId="2" borderId="22" xfId="1" applyNumberFormat="1" applyFont="1" applyFill="1" applyBorder="1" applyAlignment="1">
      <alignment vertical="center" wrapText="1"/>
    </xf>
    <xf numFmtId="43" fontId="8" fillId="2" borderId="16" xfId="1" applyNumberFormat="1" applyFont="1" applyFill="1" applyBorder="1" applyAlignment="1">
      <alignment vertical="center" shrinkToFit="1"/>
    </xf>
    <xf numFmtId="43" fontId="9" fillId="6" borderId="0" xfId="1" applyNumberFormat="1" applyFont="1" applyFill="1" applyBorder="1" applyAlignment="1">
      <alignment vertical="center" wrapText="1"/>
    </xf>
    <xf numFmtId="43" fontId="9" fillId="2" borderId="0" xfId="1" applyNumberFormat="1" applyFont="1" applyFill="1" applyBorder="1" applyAlignment="1">
      <alignment vertical="center" wrapText="1"/>
    </xf>
    <xf numFmtId="43" fontId="9" fillId="4" borderId="0" xfId="1" applyNumberFormat="1" applyFont="1" applyFill="1" applyBorder="1" applyAlignment="1">
      <alignment vertical="center" wrapText="1"/>
    </xf>
    <xf numFmtId="43" fontId="8" fillId="6" borderId="21" xfId="1" applyNumberFormat="1" applyFont="1" applyFill="1" applyBorder="1" applyAlignment="1">
      <alignment vertical="center" wrapText="1"/>
    </xf>
    <xf numFmtId="43" fontId="8" fillId="2" borderId="21" xfId="1" applyNumberFormat="1" applyFont="1" applyFill="1" applyBorder="1" applyAlignment="1">
      <alignment vertical="center" wrapText="1"/>
    </xf>
    <xf numFmtId="43" fontId="9" fillId="5" borderId="21" xfId="1" applyNumberFormat="1" applyFont="1" applyFill="1" applyBorder="1" applyAlignment="1">
      <alignment vertical="center" shrinkToFit="1"/>
    </xf>
    <xf numFmtId="43" fontId="9" fillId="6" borderId="23" xfId="1" applyNumberFormat="1" applyFont="1" applyFill="1" applyBorder="1" applyAlignment="1">
      <alignment vertical="center" wrapText="1"/>
    </xf>
    <xf numFmtId="43" fontId="9" fillId="2" borderId="23" xfId="1" applyNumberFormat="1" applyFont="1" applyFill="1" applyBorder="1" applyAlignment="1">
      <alignment vertical="center" wrapText="1"/>
    </xf>
    <xf numFmtId="43" fontId="9" fillId="5" borderId="23" xfId="1" applyNumberFormat="1" applyFont="1" applyFill="1" applyBorder="1" applyAlignment="1">
      <alignment vertical="center" shrinkToFit="1"/>
    </xf>
    <xf numFmtId="43" fontId="8" fillId="2" borderId="23" xfId="1" applyNumberFormat="1" applyFont="1" applyFill="1" applyBorder="1" applyAlignment="1">
      <alignment vertical="center" shrinkToFit="1"/>
    </xf>
    <xf numFmtId="43" fontId="8" fillId="5" borderId="9" xfId="1" applyNumberFormat="1" applyFont="1" applyFill="1" applyBorder="1" applyAlignment="1">
      <alignment vertical="center" shrinkToFit="1"/>
    </xf>
    <xf numFmtId="43" fontId="8" fillId="5" borderId="8" xfId="1" applyNumberFormat="1" applyFont="1" applyFill="1" applyBorder="1" applyAlignment="1">
      <alignment vertical="center" shrinkToFit="1"/>
    </xf>
    <xf numFmtId="43" fontId="8" fillId="5" borderId="5" xfId="1" applyNumberFormat="1" applyFont="1" applyFill="1" applyBorder="1" applyAlignment="1">
      <alignment vertical="center" shrinkToFit="1"/>
    </xf>
    <xf numFmtId="43" fontId="8" fillId="5" borderId="0" xfId="1" applyNumberFormat="1" applyFont="1" applyFill="1" applyBorder="1" applyAlignment="1">
      <alignment vertical="center" shrinkToFit="1"/>
    </xf>
    <xf numFmtId="43" fontId="8" fillId="5" borderId="0" xfId="1" applyNumberFormat="1" applyFont="1" applyFill="1" applyAlignment="1">
      <alignment vertical="center" shrinkToFit="1"/>
    </xf>
    <xf numFmtId="43" fontId="8" fillId="5" borderId="22" xfId="1" applyNumberFormat="1" applyFont="1" applyFill="1" applyBorder="1" applyAlignment="1">
      <alignment vertical="center" shrinkToFit="1"/>
    </xf>
    <xf numFmtId="43" fontId="9" fillId="2" borderId="12" xfId="1" applyNumberFormat="1" applyFont="1" applyFill="1" applyBorder="1" applyAlignment="1">
      <alignment vertical="center" shrinkToFit="1"/>
    </xf>
    <xf numFmtId="43" fontId="9" fillId="2" borderId="14" xfId="1" applyNumberFormat="1" applyFont="1" applyFill="1" applyBorder="1" applyAlignment="1">
      <alignment vertical="center" wrapText="1"/>
    </xf>
    <xf numFmtId="43" fontId="9" fillId="2" borderId="12" xfId="1" applyNumberFormat="1" applyFont="1" applyFill="1" applyBorder="1" applyAlignment="1">
      <alignment vertical="center" wrapText="1"/>
    </xf>
    <xf numFmtId="0" fontId="9" fillId="0" borderId="0" xfId="0" applyFont="1" applyFill="1" applyAlignment="1">
      <alignment horizontal="left" vertical="top" wrapText="1"/>
    </xf>
    <xf numFmtId="165" fontId="9" fillId="0" borderId="0" xfId="0" applyNumberFormat="1" applyFont="1" applyFill="1" applyAlignment="1">
      <alignment horizontal="right" vertical="center" shrinkToFit="1"/>
    </xf>
    <xf numFmtId="165" fontId="8" fillId="0" borderId="0" xfId="0" applyNumberFormat="1" applyFont="1" applyFill="1" applyAlignment="1">
      <alignment horizontal="right" vertical="center" shrinkToFit="1"/>
    </xf>
    <xf numFmtId="0" fontId="3" fillId="0" borderId="0" xfId="0" applyFont="1" applyFill="1" applyAlignment="1">
      <alignment horizontal="left" wrapText="1"/>
    </xf>
    <xf numFmtId="0" fontId="0" fillId="0" borderId="0" xfId="0" applyFill="1"/>
    <xf numFmtId="0" fontId="3" fillId="0" borderId="0" xfId="0" applyFont="1" applyFill="1" applyAlignment="1">
      <alignment horizontal="left" vertical="center" wrapText="1"/>
    </xf>
    <xf numFmtId="0" fontId="7" fillId="3" borderId="0" xfId="0" quotePrefix="1" applyFont="1" applyFill="1" applyAlignment="1">
      <alignment horizontal="left" vertical="top" wrapText="1"/>
    </xf>
    <xf numFmtId="0" fontId="13" fillId="2" borderId="0" xfId="0" applyFont="1" applyFill="1" applyAlignment="1">
      <alignment horizontal="left" vertical="center"/>
    </xf>
    <xf numFmtId="165" fontId="9" fillId="5" borderId="23" xfId="0" applyNumberFormat="1" applyFont="1" applyFill="1" applyBorder="1" applyAlignment="1">
      <alignment horizontal="right" vertical="center" shrinkToFit="1"/>
    </xf>
    <xf numFmtId="165" fontId="8" fillId="2" borderId="23" xfId="0" applyNumberFormat="1" applyFont="1" applyFill="1" applyBorder="1" applyAlignment="1">
      <alignment horizontal="right" vertical="center" shrinkToFit="1"/>
    </xf>
    <xf numFmtId="2" fontId="9" fillId="2" borderId="0" xfId="0" applyNumberFormat="1" applyFont="1" applyFill="1" applyAlignment="1">
      <alignment horizontal="left" vertical="top" wrapText="1"/>
    </xf>
    <xf numFmtId="2" fontId="8" fillId="2" borderId="11" xfId="0" applyNumberFormat="1" applyFont="1" applyFill="1" applyBorder="1" applyAlignment="1">
      <alignment horizontal="left" vertical="top" wrapText="1"/>
    </xf>
    <xf numFmtId="2" fontId="8" fillId="2" borderId="21" xfId="0" applyNumberFormat="1" applyFont="1" applyFill="1" applyBorder="1" applyAlignment="1">
      <alignment horizontal="left" vertical="top" wrapText="1"/>
    </xf>
    <xf numFmtId="2" fontId="8" fillId="2" borderId="12" xfId="0" applyNumberFormat="1" applyFont="1" applyFill="1" applyBorder="1" applyAlignment="1">
      <alignment horizontal="left" vertical="top" wrapText="1"/>
    </xf>
    <xf numFmtId="2" fontId="8" fillId="2" borderId="13" xfId="0" applyNumberFormat="1" applyFont="1" applyFill="1" applyBorder="1" applyAlignment="1">
      <alignment horizontal="left" vertical="top" wrapText="1"/>
    </xf>
    <xf numFmtId="2" fontId="8" fillId="2" borderId="0" xfId="0" applyNumberFormat="1" applyFont="1" applyFill="1" applyBorder="1" applyAlignment="1">
      <alignment horizontal="left" vertical="top" wrapText="1"/>
    </xf>
    <xf numFmtId="2" fontId="8" fillId="2" borderId="14" xfId="0" applyNumberFormat="1" applyFont="1" applyFill="1" applyBorder="1" applyAlignment="1">
      <alignment horizontal="left" vertical="top" wrapText="1"/>
    </xf>
    <xf numFmtId="2" fontId="8" fillId="2" borderId="22" xfId="0" applyNumberFormat="1" applyFont="1" applyFill="1" applyBorder="1" applyAlignment="1">
      <alignment horizontal="left" vertical="top" wrapText="1"/>
    </xf>
    <xf numFmtId="2" fontId="8" fillId="2" borderId="16" xfId="0" applyNumberFormat="1" applyFont="1" applyFill="1" applyBorder="1" applyAlignment="1">
      <alignment horizontal="left" vertical="top" wrapText="1"/>
    </xf>
    <xf numFmtId="2" fontId="8" fillId="2" borderId="15" xfId="0" applyNumberFormat="1" applyFont="1" applyFill="1" applyBorder="1" applyAlignment="1">
      <alignment horizontal="left" vertical="top" wrapText="1"/>
    </xf>
    <xf numFmtId="2" fontId="9" fillId="0" borderId="0" xfId="0" applyNumberFormat="1" applyFont="1" applyFill="1" applyAlignment="1">
      <alignment horizontal="left" vertical="top" wrapText="1"/>
    </xf>
    <xf numFmtId="2" fontId="8" fillId="2" borderId="0" xfId="0" applyNumberFormat="1" applyFont="1" applyFill="1" applyAlignment="1">
      <alignment horizontal="left" vertical="top" wrapText="1"/>
    </xf>
    <xf numFmtId="2" fontId="9" fillId="2" borderId="23" xfId="0" applyNumberFormat="1" applyFont="1" applyFill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OLD%20FIELDS%2021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OLD%20FIELDS%202324-financial-resul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GOLD%20FIELDS%202425%20financia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"/>
      <sheetName val="SOFP"/>
      <sheetName val="SOCF"/>
    </sheetNames>
    <sheetDataSet>
      <sheetData sheetId="0"/>
      <sheetData sheetId="1">
        <row r="4">
          <cell r="B4" t="str">
            <v>5,535.7</v>
          </cell>
        </row>
        <row r="5">
          <cell r="B5" t="str">
            <v>4,815.7</v>
          </cell>
        </row>
        <row r="7">
          <cell r="B7" t="str">
            <v>84.9</v>
          </cell>
        </row>
        <row r="8">
          <cell r="B8" t="str">
            <v>112.1</v>
          </cell>
        </row>
        <row r="9">
          <cell r="B9" t="str">
            <v>23.4</v>
          </cell>
        </row>
        <row r="10">
          <cell r="B10" t="str">
            <v>195.5</v>
          </cell>
        </row>
        <row r="11">
          <cell r="B11" t="str">
            <v>1,802.4</v>
          </cell>
        </row>
        <row r="12">
          <cell r="B12" t="str">
            <v>1,033.0</v>
          </cell>
        </row>
        <row r="13">
          <cell r="B13" t="str">
            <v>769.4</v>
          </cell>
        </row>
        <row r="15">
          <cell r="B15" t="str">
            <v>7,338.1</v>
          </cell>
        </row>
        <row r="16">
          <cell r="B16" t="str">
            <v>4,339.5</v>
          </cell>
        </row>
        <row r="17">
          <cell r="B17" t="str">
            <v>2,213.2</v>
          </cell>
        </row>
        <row r="18">
          <cell r="B18" t="str">
            <v>399.8</v>
          </cell>
        </row>
        <row r="19">
          <cell r="B19" t="str">
            <v>1,079.3</v>
          </cell>
        </row>
        <row r="20">
          <cell r="B20" t="str">
            <v>370.5</v>
          </cell>
        </row>
        <row r="21">
          <cell r="B21" t="str">
            <v>330.1</v>
          </cell>
        </row>
        <row r="22">
          <cell r="B22" t="str">
            <v>22.4</v>
          </cell>
        </row>
        <row r="23">
          <cell r="B23" t="str">
            <v>11.1</v>
          </cell>
        </row>
        <row r="24">
          <cell r="B24" t="str">
            <v>785.4</v>
          </cell>
        </row>
        <row r="25">
          <cell r="B25" t="str">
            <v>690.7</v>
          </cell>
        </row>
        <row r="26">
          <cell r="B26" t="str">
            <v>30.6</v>
          </cell>
        </row>
        <row r="27">
          <cell r="B27" t="str">
            <v>64.1</v>
          </cell>
        </row>
        <row r="29">
          <cell r="B29" t="str">
            <v>7,338.1</v>
          </cell>
        </row>
      </sheetData>
      <sheetData sheetId="2">
        <row r="4">
          <cell r="B4" t="str">
            <v>1,713.9</v>
          </cell>
        </row>
        <row r="6">
          <cell r="B6" t="str">
            <v>844.3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"/>
      <sheetName val="SOFP"/>
      <sheetName val="SOCF"/>
    </sheetNames>
    <sheetDataSet>
      <sheetData sheetId="0"/>
      <sheetData sheetId="1">
        <row r="4">
          <cell r="D4">
            <v>6338.6</v>
          </cell>
        </row>
        <row r="5">
          <cell r="D5">
            <v>5074.3999999999996</v>
          </cell>
        </row>
        <row r="6">
          <cell r="D6">
            <v>437.2</v>
          </cell>
        </row>
        <row r="7">
          <cell r="D7">
            <v>548.6</v>
          </cell>
        </row>
        <row r="8">
          <cell r="D8">
            <v>106.2</v>
          </cell>
        </row>
        <row r="10">
          <cell r="D10">
            <v>172.2</v>
          </cell>
        </row>
        <row r="11">
          <cell r="D11">
            <v>1734.4</v>
          </cell>
        </row>
        <row r="12">
          <cell r="D12">
            <v>1085.7</v>
          </cell>
        </row>
        <row r="13">
          <cell r="D13">
            <v>648.70000000000005</v>
          </cell>
        </row>
        <row r="14">
          <cell r="D14">
            <v>153.30000000000001</v>
          </cell>
        </row>
        <row r="15">
          <cell r="D15">
            <v>8226.2999999999993</v>
          </cell>
        </row>
        <row r="16">
          <cell r="D16">
            <v>4619.8</v>
          </cell>
        </row>
        <row r="17">
          <cell r="D17">
            <v>2100.6999999999998</v>
          </cell>
        </row>
        <row r="18">
          <cell r="D18">
            <v>389.3</v>
          </cell>
        </row>
        <row r="19">
          <cell r="D19">
            <v>653.4</v>
          </cell>
        </row>
        <row r="20">
          <cell r="D20">
            <v>406.1</v>
          </cell>
        </row>
        <row r="21">
          <cell r="D21">
            <v>359.7</v>
          </cell>
        </row>
        <row r="22">
          <cell r="D22">
            <v>40.5</v>
          </cell>
        </row>
        <row r="23">
          <cell r="D23">
            <v>245.4</v>
          </cell>
        </row>
        <row r="25">
          <cell r="D25">
            <v>1505.8</v>
          </cell>
        </row>
        <row r="26">
          <cell r="D26">
            <v>807.6</v>
          </cell>
        </row>
        <row r="27">
          <cell r="D27">
            <v>583.1</v>
          </cell>
        </row>
        <row r="28">
          <cell r="D28">
            <v>38.4</v>
          </cell>
        </row>
        <row r="29">
          <cell r="D29">
            <v>76.7</v>
          </cell>
        </row>
        <row r="30">
          <cell r="D30">
            <v>8226.2999999999993</v>
          </cell>
        </row>
      </sheetData>
      <sheetData sheetId="2">
        <row r="3">
          <cell r="B3">
            <v>1985.5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ome Statement "/>
      <sheetName val="Financial position"/>
      <sheetName val="Cash Flows"/>
    </sheetNames>
    <sheetDataSet>
      <sheetData sheetId="0"/>
      <sheetData sheetId="1">
        <row r="4">
          <cell r="B4">
            <v>12176.8</v>
          </cell>
          <cell r="C4">
            <v>8195.1</v>
          </cell>
        </row>
        <row r="5">
          <cell r="B5">
            <v>11336.8</v>
          </cell>
          <cell r="C5">
            <v>7298.4</v>
          </cell>
        </row>
        <row r="6">
          <cell r="C6">
            <v>544.70000000000005</v>
          </cell>
        </row>
        <row r="7">
          <cell r="B7">
            <v>2.8</v>
          </cell>
          <cell r="C7">
            <v>12.6</v>
          </cell>
        </row>
        <row r="8">
          <cell r="B8">
            <v>189.6</v>
          </cell>
          <cell r="C8">
            <v>139.9</v>
          </cell>
        </row>
        <row r="9">
          <cell r="B9">
            <v>22</v>
          </cell>
          <cell r="C9">
            <v>44.6</v>
          </cell>
        </row>
        <row r="10">
          <cell r="B10">
            <v>38.200000000000003</v>
          </cell>
          <cell r="C10">
            <v>154.9</v>
          </cell>
        </row>
        <row r="11">
          <cell r="B11">
            <v>2970.9</v>
          </cell>
          <cell r="C11">
            <v>1926.7</v>
          </cell>
        </row>
        <row r="12">
          <cell r="B12">
            <v>1191.7</v>
          </cell>
          <cell r="C12">
            <v>1066.5</v>
          </cell>
        </row>
        <row r="13">
          <cell r="B13">
            <v>1779.2</v>
          </cell>
          <cell r="C13">
            <v>860.2</v>
          </cell>
        </row>
        <row r="14">
          <cell r="B14">
            <v>77.5</v>
          </cell>
          <cell r="C14">
            <v>21.1</v>
          </cell>
        </row>
        <row r="15">
          <cell r="B15">
            <v>15225.2</v>
          </cell>
          <cell r="C15">
            <v>10142.9</v>
          </cell>
        </row>
        <row r="16">
          <cell r="B16">
            <v>8672.4</v>
          </cell>
          <cell r="C16">
            <v>5366.9</v>
          </cell>
        </row>
        <row r="17">
          <cell r="B17">
            <v>4852.8999999999996</v>
          </cell>
          <cell r="C17">
            <v>3065.6</v>
          </cell>
        </row>
        <row r="18">
          <cell r="B18">
            <v>1401.7</v>
          </cell>
          <cell r="C18">
            <v>503.8</v>
          </cell>
        </row>
        <row r="19">
          <cell r="B19">
            <v>2559.5</v>
          </cell>
          <cell r="C19">
            <v>1776.5</v>
          </cell>
        </row>
        <row r="20">
          <cell r="B20">
            <v>489.2</v>
          </cell>
          <cell r="C20">
            <v>397.1</v>
          </cell>
        </row>
        <row r="21">
          <cell r="B21">
            <v>379.1</v>
          </cell>
          <cell r="C21">
            <v>363.3</v>
          </cell>
        </row>
        <row r="22">
          <cell r="B22">
            <v>20.399999999999999</v>
          </cell>
          <cell r="C22">
            <v>20</v>
          </cell>
        </row>
        <row r="23">
          <cell r="B23">
            <v>3</v>
          </cell>
          <cell r="C23">
            <v>4.9000000000000004</v>
          </cell>
        </row>
        <row r="24">
          <cell r="B24">
            <v>1699.9</v>
          </cell>
          <cell r="C24">
            <v>1710.4</v>
          </cell>
        </row>
        <row r="25">
          <cell r="B25">
            <v>1373.2</v>
          </cell>
          <cell r="C25">
            <v>873.4</v>
          </cell>
        </row>
        <row r="26">
          <cell r="B26">
            <v>178.7</v>
          </cell>
          <cell r="C26">
            <v>719.1</v>
          </cell>
        </row>
        <row r="27">
          <cell r="B27">
            <v>44.1</v>
          </cell>
          <cell r="C27">
            <v>31</v>
          </cell>
        </row>
        <row r="28">
          <cell r="B28">
            <v>103.9</v>
          </cell>
          <cell r="C28">
            <v>86.9</v>
          </cell>
        </row>
        <row r="29">
          <cell r="B29">
            <v>15225.2</v>
          </cell>
          <cell r="C29">
            <v>10142.9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32F77-CFF2-4129-83BD-E0CDA2BA5E16}">
  <dimension ref="A1:H46"/>
  <sheetViews>
    <sheetView topLeftCell="A2" workbookViewId="0">
      <selection activeCell="F2" sqref="F2:G2"/>
    </sheetView>
  </sheetViews>
  <sheetFormatPr defaultColWidth="9.140625" defaultRowHeight="15" x14ac:dyDescent="0.25"/>
  <cols>
    <col min="1" max="1" width="54.7109375" style="2" customWidth="1"/>
    <col min="2" max="2" width="20" style="2" customWidth="1"/>
    <col min="3" max="3" width="19.42578125" style="2" customWidth="1"/>
    <col min="4" max="4" width="16.42578125" style="2" customWidth="1"/>
    <col min="5" max="5" width="18" style="2" customWidth="1"/>
    <col min="6" max="7" width="12.7109375" style="2" customWidth="1"/>
    <col min="8" max="16384" width="9.140625" style="2"/>
  </cols>
  <sheetData>
    <row r="1" spans="1:8" ht="45" customHeight="1" x14ac:dyDescent="0.25">
      <c r="A1" s="35" t="s">
        <v>85</v>
      </c>
      <c r="B1" s="35"/>
      <c r="C1" s="35"/>
      <c r="D1" s="35"/>
      <c r="E1" s="35"/>
      <c r="F1" s="35"/>
      <c r="G1" s="35"/>
      <c r="H1" s="1"/>
    </row>
    <row r="2" spans="1:8" ht="26.1" customHeight="1" x14ac:dyDescent="0.25">
      <c r="A2" s="3"/>
      <c r="B2" s="3"/>
      <c r="C2" s="3"/>
      <c r="D2" s="3"/>
      <c r="E2" s="3"/>
      <c r="F2" s="36"/>
      <c r="G2" s="36"/>
      <c r="H2" s="4"/>
    </row>
    <row r="3" spans="1:8" ht="22.5" x14ac:dyDescent="0.25">
      <c r="A3" s="5" t="s">
        <v>0</v>
      </c>
      <c r="B3" s="70" t="s">
        <v>115</v>
      </c>
      <c r="C3" s="70" t="s">
        <v>116</v>
      </c>
      <c r="D3" s="70" t="s">
        <v>119</v>
      </c>
      <c r="E3" s="70" t="s">
        <v>118</v>
      </c>
      <c r="F3" s="6" t="s">
        <v>1</v>
      </c>
      <c r="G3" s="7" t="s">
        <v>2</v>
      </c>
      <c r="H3" s="8"/>
    </row>
    <row r="4" spans="1:8" ht="12.75" customHeight="1" x14ac:dyDescent="0.25">
      <c r="A4" s="72" t="s">
        <v>3</v>
      </c>
      <c r="B4" s="73">
        <v>8751.2999999999993</v>
      </c>
      <c r="C4" s="74">
        <v>5201.6000000000004</v>
      </c>
      <c r="D4" s="73">
        <v>4500.7</v>
      </c>
      <c r="E4" s="74" t="s">
        <v>121</v>
      </c>
      <c r="F4" s="75">
        <v>4195.2</v>
      </c>
      <c r="G4" s="74">
        <v>3892.1</v>
      </c>
      <c r="H4" s="8"/>
    </row>
    <row r="5" spans="1:8" ht="12.75" customHeight="1" x14ac:dyDescent="0.25">
      <c r="A5" s="41" t="s">
        <v>4</v>
      </c>
      <c r="B5" s="77">
        <v>-3680.8</v>
      </c>
      <c r="C5" s="78">
        <v>-2843.7</v>
      </c>
      <c r="D5" s="79">
        <v>-2747</v>
      </c>
      <c r="E5" s="80" t="s">
        <v>122</v>
      </c>
      <c r="F5" s="112">
        <v>-2374.9</v>
      </c>
      <c r="G5" s="81">
        <v>-2150.4</v>
      </c>
      <c r="H5" s="11"/>
    </row>
    <row r="6" spans="1:8" ht="12.75" customHeight="1" x14ac:dyDescent="0.25">
      <c r="A6" s="41" t="s">
        <v>5</v>
      </c>
      <c r="B6" s="77">
        <v>0</v>
      </c>
      <c r="C6" s="78">
        <v>-2216.3000000000002</v>
      </c>
      <c r="D6" s="79">
        <v>-1951.7</v>
      </c>
      <c r="E6" s="80" t="s">
        <v>123</v>
      </c>
      <c r="F6" s="112">
        <v>-1661.7</v>
      </c>
      <c r="G6" s="81">
        <v>-1489.1</v>
      </c>
      <c r="H6" s="11"/>
    </row>
    <row r="7" spans="1:8" ht="12.75" customHeight="1" x14ac:dyDescent="0.25">
      <c r="A7" s="41" t="s">
        <v>6</v>
      </c>
      <c r="B7" s="82">
        <v>0</v>
      </c>
      <c r="C7" s="83">
        <v>-2202.3000000000002</v>
      </c>
      <c r="D7" s="84">
        <v>-2042.4</v>
      </c>
      <c r="E7" s="83" t="s">
        <v>124</v>
      </c>
      <c r="F7" s="113">
        <v>-1784.5</v>
      </c>
      <c r="G7" s="85">
        <v>-1554.6</v>
      </c>
      <c r="H7" s="11"/>
    </row>
    <row r="8" spans="1:8" ht="12.75" customHeight="1" x14ac:dyDescent="0.25">
      <c r="A8" s="41" t="s">
        <v>7</v>
      </c>
      <c r="B8" s="86">
        <v>0</v>
      </c>
      <c r="C8" s="87">
        <v>-14</v>
      </c>
      <c r="D8" s="88">
        <v>90.7</v>
      </c>
      <c r="E8" s="87" t="s">
        <v>125</v>
      </c>
      <c r="F8" s="114">
        <v>122.8</v>
      </c>
      <c r="G8" s="89">
        <v>65.5</v>
      </c>
      <c r="H8" s="11"/>
    </row>
    <row r="9" spans="1:8" ht="12.75" customHeight="1" x14ac:dyDescent="0.25">
      <c r="A9" s="41" t="s">
        <v>8</v>
      </c>
      <c r="B9" s="79">
        <v>0</v>
      </c>
      <c r="C9" s="80">
        <v>-627.4</v>
      </c>
      <c r="D9" s="79">
        <v>-795.3</v>
      </c>
      <c r="E9" s="80" t="s">
        <v>126</v>
      </c>
      <c r="F9" s="112">
        <v>-713.2</v>
      </c>
      <c r="G9" s="81">
        <v>-661.3</v>
      </c>
      <c r="H9" s="11"/>
    </row>
    <row r="10" spans="1:8" ht="12.75" customHeight="1" x14ac:dyDescent="0.25">
      <c r="A10" s="41" t="s">
        <v>120</v>
      </c>
      <c r="B10" s="90">
        <v>53.3</v>
      </c>
      <c r="C10" s="76">
        <v>28.7</v>
      </c>
      <c r="D10" s="90">
        <v>24.9</v>
      </c>
      <c r="E10" s="91">
        <v>0</v>
      </c>
      <c r="F10" s="115">
        <v>0</v>
      </c>
      <c r="G10" s="92">
        <v>0</v>
      </c>
      <c r="H10" s="11"/>
    </row>
    <row r="11" spans="1:8" ht="12.75" customHeight="1" x14ac:dyDescent="0.25">
      <c r="A11" s="41" t="s">
        <v>9</v>
      </c>
      <c r="B11" s="90">
        <v>-120.7</v>
      </c>
      <c r="C11" s="76">
        <v>-50.4</v>
      </c>
      <c r="D11" s="90">
        <v>-62.9</v>
      </c>
      <c r="E11" s="76" t="s">
        <v>127</v>
      </c>
      <c r="F11" s="116">
        <v>-82.9</v>
      </c>
      <c r="G11" s="93">
        <v>-105.8</v>
      </c>
      <c r="H11" s="11"/>
    </row>
    <row r="12" spans="1:8" ht="12.75" customHeight="1" x14ac:dyDescent="0.25">
      <c r="A12" s="41" t="s">
        <v>10</v>
      </c>
      <c r="B12" s="90">
        <v>-2.2999999999999998</v>
      </c>
      <c r="C12" s="76">
        <v>0</v>
      </c>
      <c r="D12" s="90">
        <v>0</v>
      </c>
      <c r="E12" s="76" t="s">
        <v>128</v>
      </c>
      <c r="F12" s="116">
        <v>-32</v>
      </c>
      <c r="G12" s="93">
        <v>-2.6</v>
      </c>
      <c r="H12" s="11"/>
    </row>
    <row r="13" spans="1:8" ht="12.75" customHeight="1" x14ac:dyDescent="0.25">
      <c r="A13" s="41" t="s">
        <v>11</v>
      </c>
      <c r="B13" s="82">
        <v>0</v>
      </c>
      <c r="C13" s="83">
        <v>-53.6</v>
      </c>
      <c r="D13" s="82">
        <v>-32.6</v>
      </c>
      <c r="E13" s="83" t="s">
        <v>128</v>
      </c>
      <c r="F13" s="113">
        <v>20.8</v>
      </c>
      <c r="G13" s="85">
        <v>46.9</v>
      </c>
      <c r="H13" s="11"/>
    </row>
    <row r="14" spans="1:8" ht="12.75" customHeight="1" x14ac:dyDescent="0.25">
      <c r="A14" s="41" t="s">
        <v>12</v>
      </c>
      <c r="B14" s="86">
        <v>0</v>
      </c>
      <c r="C14" s="87">
        <v>0</v>
      </c>
      <c r="D14" s="86">
        <v>0</v>
      </c>
      <c r="E14" s="87" t="s">
        <v>29</v>
      </c>
      <c r="F14" s="114">
        <v>-52.8</v>
      </c>
      <c r="G14" s="89">
        <v>-49.5</v>
      </c>
      <c r="H14" s="11"/>
    </row>
    <row r="15" spans="1:8" ht="12.75" customHeight="1" x14ac:dyDescent="0.25">
      <c r="A15" s="41" t="s">
        <v>13</v>
      </c>
      <c r="B15" s="90">
        <v>6.6</v>
      </c>
      <c r="C15" s="76">
        <v>-6.6</v>
      </c>
      <c r="D15" s="90">
        <v>-5.6</v>
      </c>
      <c r="E15" s="76" t="s">
        <v>129</v>
      </c>
      <c r="F15" s="116">
        <v>-1.9</v>
      </c>
      <c r="G15" s="93">
        <v>8.6</v>
      </c>
      <c r="H15" s="11"/>
    </row>
    <row r="16" spans="1:8" ht="12.75" customHeight="1" x14ac:dyDescent="0.25">
      <c r="A16" s="41" t="s">
        <v>14</v>
      </c>
      <c r="B16" s="90">
        <v>0</v>
      </c>
      <c r="C16" s="76"/>
      <c r="D16" s="90"/>
      <c r="E16" s="76" t="s">
        <v>130</v>
      </c>
      <c r="F16" s="116">
        <v>-100.4</v>
      </c>
      <c r="G16" s="93">
        <v>-238.9</v>
      </c>
      <c r="H16" s="11"/>
    </row>
    <row r="17" spans="1:8" ht="12.75" customHeight="1" x14ac:dyDescent="0.25">
      <c r="A17" s="41" t="s">
        <v>15</v>
      </c>
      <c r="B17" s="90">
        <v>-25.4</v>
      </c>
      <c r="C17" s="76">
        <v>-4.4000000000000004</v>
      </c>
      <c r="D17" s="90">
        <v>-9.1</v>
      </c>
      <c r="E17" s="76" t="s">
        <v>131</v>
      </c>
      <c r="F17" s="116">
        <v>-12.7</v>
      </c>
      <c r="G17" s="93">
        <v>-14.5</v>
      </c>
      <c r="H17" s="11"/>
    </row>
    <row r="18" spans="1:8" ht="12.75" customHeight="1" x14ac:dyDescent="0.25">
      <c r="A18" s="41" t="s">
        <v>16</v>
      </c>
      <c r="B18" s="90">
        <v>-43.2</v>
      </c>
      <c r="C18" s="76">
        <v>-14.5</v>
      </c>
      <c r="D18" s="90">
        <v>-55.8</v>
      </c>
      <c r="E18" s="76" t="s">
        <v>132</v>
      </c>
      <c r="F18" s="116">
        <v>-28.5</v>
      </c>
      <c r="G18" s="93">
        <v>-51.3</v>
      </c>
      <c r="H18" s="11"/>
    </row>
    <row r="19" spans="1:8" ht="12.75" customHeight="1" x14ac:dyDescent="0.25">
      <c r="A19" s="41" t="s">
        <v>17</v>
      </c>
      <c r="B19" s="90">
        <v>-55.7</v>
      </c>
      <c r="C19" s="76">
        <v>-39.5</v>
      </c>
      <c r="D19" s="90">
        <v>-44.5</v>
      </c>
      <c r="E19" s="76" t="s">
        <v>133</v>
      </c>
      <c r="F19" s="116">
        <v>-45.5</v>
      </c>
      <c r="G19" s="93">
        <v>-38.700000000000003</v>
      </c>
      <c r="H19" s="11"/>
    </row>
    <row r="20" spans="1:8" ht="12.75" customHeight="1" x14ac:dyDescent="0.25">
      <c r="A20" s="41" t="s">
        <v>18</v>
      </c>
      <c r="B20" s="90">
        <v>-297.8</v>
      </c>
      <c r="C20" s="76">
        <v>-98.4</v>
      </c>
      <c r="D20" s="90">
        <v>-76.2</v>
      </c>
      <c r="E20" s="76" t="s">
        <v>134</v>
      </c>
      <c r="F20" s="115">
        <v>-60.6</v>
      </c>
      <c r="G20" s="92">
        <v>-49.7</v>
      </c>
      <c r="H20" s="11"/>
    </row>
    <row r="21" spans="1:8" ht="12.75" customHeight="1" x14ac:dyDescent="0.25">
      <c r="A21" s="72" t="s">
        <v>19</v>
      </c>
      <c r="B21" s="94">
        <v>4585.3</v>
      </c>
      <c r="C21" s="95">
        <v>2119.1999999999998</v>
      </c>
      <c r="D21" s="94">
        <v>1491.9</v>
      </c>
      <c r="E21" s="95" t="s">
        <v>135</v>
      </c>
      <c r="F21" s="96">
        <v>1455.8</v>
      </c>
      <c r="G21" s="120">
        <v>1248.8</v>
      </c>
      <c r="H21" s="11"/>
    </row>
    <row r="22" spans="1:8" ht="12.75" customHeight="1" x14ac:dyDescent="0.25">
      <c r="A22" s="41" t="s">
        <v>20</v>
      </c>
      <c r="B22" s="97">
        <v>941.2</v>
      </c>
      <c r="C22" s="91">
        <v>16.100000000000001</v>
      </c>
      <c r="D22" s="97">
        <v>-165.2</v>
      </c>
      <c r="E22" s="91" t="s">
        <v>136</v>
      </c>
      <c r="F22" s="115">
        <v>-89</v>
      </c>
      <c r="G22" s="98">
        <v>34.1</v>
      </c>
      <c r="H22" s="11"/>
    </row>
    <row r="23" spans="1:8" ht="12.75" customHeight="1" x14ac:dyDescent="0.25">
      <c r="A23" s="72" t="s">
        <v>21</v>
      </c>
      <c r="B23" s="94">
        <v>5526.5</v>
      </c>
      <c r="C23" s="95">
        <v>2135.3000000000002</v>
      </c>
      <c r="D23" s="94">
        <v>1326.7</v>
      </c>
      <c r="E23" s="95" t="s">
        <v>87</v>
      </c>
      <c r="F23" s="96">
        <v>1366.8</v>
      </c>
      <c r="G23" s="120">
        <v>1282.9000000000001</v>
      </c>
      <c r="H23" s="11"/>
    </row>
    <row r="24" spans="1:8" ht="12.75" customHeight="1" x14ac:dyDescent="0.25">
      <c r="A24" s="41" t="s">
        <v>22</v>
      </c>
      <c r="B24" s="99">
        <v>-231.9</v>
      </c>
      <c r="C24" s="100">
        <v>-147.69999999999999</v>
      </c>
      <c r="D24" s="99">
        <v>-116.4</v>
      </c>
      <c r="E24" s="100" t="s">
        <v>137</v>
      </c>
      <c r="F24" s="117">
        <v>-112.4</v>
      </c>
      <c r="G24" s="101">
        <v>-105</v>
      </c>
      <c r="H24" s="11"/>
    </row>
    <row r="25" spans="1:8" ht="12.75" customHeight="1" x14ac:dyDescent="0.25">
      <c r="A25" s="72" t="s">
        <v>23</v>
      </c>
      <c r="B25" s="102">
        <v>5294.6</v>
      </c>
      <c r="C25" s="103">
        <v>1987.6</v>
      </c>
      <c r="D25" s="102">
        <v>1210.3</v>
      </c>
      <c r="E25" s="103" t="s">
        <v>138</v>
      </c>
      <c r="F25" s="104">
        <v>1254.4000000000001</v>
      </c>
      <c r="G25" s="119">
        <v>1177.9000000000001</v>
      </c>
      <c r="H25" s="11"/>
    </row>
    <row r="26" spans="1:8" ht="12.75" customHeight="1" x14ac:dyDescent="0.25">
      <c r="A26" s="41" t="s">
        <v>24</v>
      </c>
      <c r="B26" s="97">
        <v>-1649.2</v>
      </c>
      <c r="C26" s="91">
        <v>-697.1</v>
      </c>
      <c r="D26" s="97">
        <v>-465.1</v>
      </c>
      <c r="E26" s="91" t="s">
        <v>139</v>
      </c>
      <c r="F26" s="115">
        <v>-424.9</v>
      </c>
      <c r="G26" s="98">
        <v>-432.5</v>
      </c>
      <c r="H26" s="11"/>
    </row>
    <row r="27" spans="1:8" ht="12.75" customHeight="1" x14ac:dyDescent="0.25">
      <c r="A27" s="41" t="s">
        <v>25</v>
      </c>
      <c r="B27" s="105">
        <v>-980.2</v>
      </c>
      <c r="C27" s="106">
        <v>-550.20000000000005</v>
      </c>
      <c r="D27" s="105">
        <v>-458.3</v>
      </c>
      <c r="E27" s="106" t="s">
        <v>140</v>
      </c>
      <c r="F27" s="107">
        <v>-448.6</v>
      </c>
      <c r="G27" s="118">
        <v>-366.5</v>
      </c>
      <c r="H27" s="11"/>
    </row>
    <row r="28" spans="1:8" ht="12.75" customHeight="1" x14ac:dyDescent="0.25">
      <c r="A28" s="41" t="s">
        <v>26</v>
      </c>
      <c r="B28" s="99">
        <v>-669</v>
      </c>
      <c r="C28" s="100">
        <v>-146.9</v>
      </c>
      <c r="D28" s="99">
        <v>-6.8</v>
      </c>
      <c r="E28" s="100" t="s">
        <v>141</v>
      </c>
      <c r="F28" s="117">
        <v>23.7</v>
      </c>
      <c r="G28" s="101">
        <v>-66</v>
      </c>
      <c r="H28" s="11"/>
    </row>
    <row r="29" spans="1:8" ht="12.75" customHeight="1" thickBot="1" x14ac:dyDescent="0.3">
      <c r="A29" s="72" t="s">
        <v>27</v>
      </c>
      <c r="B29" s="108">
        <v>3645.4000000000005</v>
      </c>
      <c r="C29" s="109">
        <v>1290.5</v>
      </c>
      <c r="D29" s="108">
        <v>745.2</v>
      </c>
      <c r="E29" s="109" t="s">
        <v>142</v>
      </c>
      <c r="F29" s="110">
        <v>829.5</v>
      </c>
      <c r="G29" s="111">
        <v>745.4</v>
      </c>
      <c r="H29" s="8"/>
    </row>
    <row r="30" spans="1:8" ht="15.75" thickTop="1" x14ac:dyDescent="0.25">
      <c r="A30" s="18"/>
      <c r="B30" s="18"/>
      <c r="C30" s="18"/>
      <c r="D30" s="18"/>
      <c r="E30" s="18"/>
      <c r="F30" s="18"/>
      <c r="G30" s="18"/>
    </row>
    <row r="31" spans="1:8" x14ac:dyDescent="0.25">
      <c r="A31" s="18"/>
      <c r="B31" s="18"/>
      <c r="C31" s="18"/>
      <c r="D31" s="18"/>
      <c r="E31" s="18"/>
      <c r="F31" s="18"/>
      <c r="G31" s="18"/>
    </row>
    <row r="32" spans="1:8" x14ac:dyDescent="0.25">
      <c r="A32" s="18"/>
      <c r="B32" s="18"/>
      <c r="C32" s="18"/>
      <c r="D32" s="18"/>
      <c r="E32" s="18"/>
      <c r="F32" s="18"/>
      <c r="G32" s="18"/>
    </row>
    <row r="33" spans="1:7" x14ac:dyDescent="0.25">
      <c r="A33" s="18"/>
      <c r="B33" s="18"/>
      <c r="C33" s="18"/>
      <c r="D33" s="18"/>
      <c r="E33" s="18"/>
      <c r="F33" s="18"/>
      <c r="G33" s="18"/>
    </row>
    <row r="34" spans="1:7" x14ac:dyDescent="0.25">
      <c r="A34" s="18"/>
      <c r="B34" s="18"/>
      <c r="C34" s="18"/>
      <c r="D34" s="18"/>
      <c r="E34" s="18"/>
      <c r="F34" s="18"/>
      <c r="G34" s="18"/>
    </row>
    <row r="35" spans="1:7" x14ac:dyDescent="0.25">
      <c r="A35" s="18"/>
      <c r="B35" s="18"/>
      <c r="C35" s="18"/>
      <c r="D35" s="18"/>
      <c r="E35" s="18"/>
      <c r="F35" s="18"/>
      <c r="G35" s="18"/>
    </row>
    <row r="36" spans="1:7" x14ac:dyDescent="0.25">
      <c r="A36" s="18"/>
      <c r="B36" s="18"/>
      <c r="C36" s="18"/>
      <c r="D36" s="18"/>
      <c r="E36" s="18"/>
      <c r="F36" s="18"/>
      <c r="G36" s="18"/>
    </row>
    <row r="37" spans="1:7" x14ac:dyDescent="0.25">
      <c r="A37" s="18"/>
      <c r="B37" s="18"/>
      <c r="C37" s="18"/>
      <c r="D37" s="18"/>
      <c r="E37" s="18"/>
      <c r="F37" s="18"/>
      <c r="G37" s="18"/>
    </row>
    <row r="38" spans="1:7" x14ac:dyDescent="0.25">
      <c r="A38" s="18"/>
      <c r="B38" s="18"/>
      <c r="C38" s="18"/>
      <c r="D38" s="18"/>
      <c r="E38" s="18"/>
      <c r="F38" s="18"/>
      <c r="G38" s="18"/>
    </row>
    <row r="39" spans="1:7" x14ac:dyDescent="0.25">
      <c r="A39" s="18"/>
      <c r="B39" s="18"/>
      <c r="C39" s="18"/>
      <c r="D39" s="18"/>
      <c r="E39" s="18"/>
      <c r="F39" s="18"/>
      <c r="G39" s="18"/>
    </row>
    <row r="40" spans="1:7" x14ac:dyDescent="0.25">
      <c r="A40" s="18"/>
      <c r="B40" s="18"/>
      <c r="C40" s="18"/>
      <c r="D40" s="18"/>
      <c r="E40" s="18"/>
      <c r="F40" s="18"/>
      <c r="G40" s="18"/>
    </row>
    <row r="41" spans="1:7" x14ac:dyDescent="0.25">
      <c r="A41" s="18"/>
      <c r="B41" s="18"/>
      <c r="C41" s="18"/>
      <c r="D41" s="18"/>
      <c r="E41" s="18"/>
      <c r="F41" s="18"/>
      <c r="G41" s="18"/>
    </row>
    <row r="42" spans="1:7" x14ac:dyDescent="0.25">
      <c r="A42" s="18"/>
      <c r="B42" s="18"/>
      <c r="C42" s="18"/>
      <c r="D42" s="18"/>
      <c r="E42" s="18"/>
      <c r="F42" s="18"/>
      <c r="G42" s="18"/>
    </row>
    <row r="43" spans="1:7" x14ac:dyDescent="0.25">
      <c r="A43" s="18"/>
      <c r="B43" s="18"/>
      <c r="C43" s="18"/>
      <c r="D43" s="18"/>
      <c r="E43" s="18"/>
      <c r="F43" s="18"/>
      <c r="G43" s="18"/>
    </row>
    <row r="44" spans="1:7" x14ac:dyDescent="0.25">
      <c r="A44" s="18"/>
      <c r="B44" s="18"/>
      <c r="C44" s="18"/>
      <c r="D44" s="18"/>
      <c r="E44" s="18"/>
      <c r="F44" s="18"/>
      <c r="G44" s="18"/>
    </row>
    <row r="45" spans="1:7" x14ac:dyDescent="0.25">
      <c r="A45" s="19"/>
      <c r="B45" s="19"/>
      <c r="C45" s="19"/>
      <c r="D45" s="19"/>
      <c r="E45" s="19"/>
      <c r="F45" s="19"/>
      <c r="G45" s="19"/>
    </row>
    <row r="46" spans="1:7" x14ac:dyDescent="0.25">
      <c r="A46" s="19"/>
      <c r="B46" s="19"/>
      <c r="C46" s="19"/>
      <c r="D46" s="19"/>
      <c r="E46" s="19"/>
      <c r="F46" s="19"/>
      <c r="G46" s="19"/>
    </row>
  </sheetData>
  <mergeCells count="2">
    <mergeCell ref="A1:G1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4877-5350-4B21-8F8D-EB2DA10EC3F5}">
  <dimension ref="A1:H70"/>
  <sheetViews>
    <sheetView zoomScaleNormal="100" workbookViewId="0">
      <pane ySplit="2" topLeftCell="A3" activePane="bottomLeft" state="frozen"/>
      <selection pane="bottomLeft" activeCell="F2" sqref="F2"/>
    </sheetView>
  </sheetViews>
  <sheetFormatPr defaultColWidth="9.140625" defaultRowHeight="15" x14ac:dyDescent="0.25"/>
  <cols>
    <col min="1" max="1" width="57.7109375" style="2" customWidth="1"/>
    <col min="2" max="2" width="20.42578125" style="2" customWidth="1"/>
    <col min="3" max="3" width="18.140625" style="2" customWidth="1"/>
    <col min="4" max="4" width="15.42578125" style="2" customWidth="1"/>
    <col min="5" max="5" width="17.140625" style="2" customWidth="1"/>
    <col min="6" max="7" width="12.7109375" style="2" customWidth="1"/>
    <col min="8" max="16384" width="9.140625" style="2"/>
  </cols>
  <sheetData>
    <row r="1" spans="1:8" ht="33" customHeight="1" x14ac:dyDescent="0.25">
      <c r="A1" s="20" t="s">
        <v>30</v>
      </c>
      <c r="B1" s="20"/>
      <c r="C1" s="20"/>
      <c r="D1" s="20"/>
      <c r="E1" s="20"/>
      <c r="F1" s="20"/>
      <c r="G1" s="20"/>
      <c r="H1" s="20"/>
    </row>
    <row r="2" spans="1:8" ht="22.5" customHeight="1" x14ac:dyDescent="0.25">
      <c r="A2" s="21" t="s">
        <v>31</v>
      </c>
      <c r="B2" s="69" t="s">
        <v>115</v>
      </c>
      <c r="C2" s="69" t="s">
        <v>116</v>
      </c>
      <c r="D2" s="69" t="s">
        <v>117</v>
      </c>
      <c r="E2" s="69" t="s">
        <v>118</v>
      </c>
      <c r="F2" s="6" t="s">
        <v>113</v>
      </c>
      <c r="G2" s="7" t="s">
        <v>114</v>
      </c>
      <c r="H2" s="8"/>
    </row>
    <row r="3" spans="1:8" ht="12.75" customHeight="1" x14ac:dyDescent="0.25">
      <c r="A3" s="9" t="s">
        <v>32</v>
      </c>
      <c r="B3" s="9">
        <f>'[3]Financial position'!$B$4</f>
        <v>12176.8</v>
      </c>
      <c r="C3" s="9">
        <f>'[3]Financial position'!$C$4</f>
        <v>8195.1</v>
      </c>
      <c r="D3" s="37">
        <f>[2]SOFP!$D$4</f>
        <v>6338.6</v>
      </c>
      <c r="E3" s="37" t="str">
        <f>[1]SOFP!$B$4</f>
        <v>5,535.7</v>
      </c>
      <c r="F3" s="22">
        <v>5927.7</v>
      </c>
      <c r="G3" s="23">
        <v>5713</v>
      </c>
      <c r="H3" s="8"/>
    </row>
    <row r="4" spans="1:8" ht="12.75" customHeight="1" x14ac:dyDescent="0.25">
      <c r="A4" s="10" t="s">
        <v>33</v>
      </c>
      <c r="B4" s="42">
        <f>'[3]Financial position'!$B$5</f>
        <v>11336.8</v>
      </c>
      <c r="C4" s="43">
        <f>'[3]Financial position'!$C$5</f>
        <v>7298.4</v>
      </c>
      <c r="D4" s="48">
        <f>[2]SOFP!$D$5</f>
        <v>5074.3999999999996</v>
      </c>
      <c r="E4" s="49" t="str">
        <f>[1]SOFP!$B$5</f>
        <v>4,815.7</v>
      </c>
      <c r="F4" s="38">
        <v>5079.1000000000004</v>
      </c>
      <c r="G4" s="12">
        <v>4771.2</v>
      </c>
      <c r="H4" s="8"/>
    </row>
    <row r="5" spans="1:8" ht="12.75" customHeight="1" x14ac:dyDescent="0.25">
      <c r="A5" s="10" t="s">
        <v>34</v>
      </c>
      <c r="B5" s="44">
        <f>'[3]Financial position'!$B$5</f>
        <v>11336.8</v>
      </c>
      <c r="C5" s="45">
        <f>'[3]Financial position'!$C$6</f>
        <v>544.70000000000005</v>
      </c>
      <c r="D5" s="52">
        <f>[2]SOFP!$D$6</f>
        <v>437.2</v>
      </c>
      <c r="E5" s="53" t="str">
        <f>[1]SOCF!$B$6</f>
        <v>844.3</v>
      </c>
      <c r="F5" s="39">
        <v>243.3</v>
      </c>
      <c r="G5" s="24">
        <v>220.8</v>
      </c>
      <c r="H5" s="8"/>
    </row>
    <row r="6" spans="1:8" ht="12.75" customHeight="1" x14ac:dyDescent="0.25">
      <c r="A6" s="10" t="s">
        <v>35</v>
      </c>
      <c r="B6" s="44">
        <f>'[3]Financial position'!$B$7</f>
        <v>2.8</v>
      </c>
      <c r="C6" s="45">
        <f>'[3]Financial position'!$C$7</f>
        <v>12.6</v>
      </c>
      <c r="D6" s="52">
        <f>[2]SOFP!$D$7</f>
        <v>548.6</v>
      </c>
      <c r="E6" s="53" t="str">
        <f>[1]SOFP!$B$7</f>
        <v>84.9</v>
      </c>
      <c r="F6" s="39">
        <v>178.8</v>
      </c>
      <c r="G6" s="24">
        <v>233.3</v>
      </c>
      <c r="H6" s="8"/>
    </row>
    <row r="7" spans="1:8" ht="12.75" customHeight="1" x14ac:dyDescent="0.25">
      <c r="A7" s="10" t="s">
        <v>36</v>
      </c>
      <c r="B7" s="44">
        <f>'[3]Financial position'!$B$8</f>
        <v>189.6</v>
      </c>
      <c r="C7" s="45">
        <f>'[3]Financial position'!$C$8</f>
        <v>139.9</v>
      </c>
      <c r="D7" s="52">
        <f>[2]SOFP!$D$8</f>
        <v>106.2</v>
      </c>
      <c r="E7" s="53" t="str">
        <f>[1]SOFP!$B$8</f>
        <v>112.1</v>
      </c>
      <c r="F7" s="39">
        <v>138.6</v>
      </c>
      <c r="G7" s="24">
        <v>147.9</v>
      </c>
      <c r="H7" s="8"/>
    </row>
    <row r="8" spans="1:8" ht="12.75" customHeight="1" x14ac:dyDescent="0.25">
      <c r="A8" s="10" t="s">
        <v>37</v>
      </c>
      <c r="B8" s="44">
        <f>'[3]Financial position'!$B$9</f>
        <v>22</v>
      </c>
      <c r="C8" s="45">
        <f>'[3]Financial position'!$C$9</f>
        <v>44.6</v>
      </c>
      <c r="D8" s="52">
        <v>0</v>
      </c>
      <c r="E8" s="53" t="str">
        <f>[1]SOFP!$B$9</f>
        <v>23.4</v>
      </c>
      <c r="F8" s="39">
        <v>27.3</v>
      </c>
      <c r="G8" s="24">
        <v>68.400000000000006</v>
      </c>
      <c r="H8" s="8"/>
    </row>
    <row r="9" spans="1:8" ht="12.75" customHeight="1" x14ac:dyDescent="0.25">
      <c r="A9" s="10" t="s">
        <v>38</v>
      </c>
      <c r="B9" s="44">
        <v>0</v>
      </c>
      <c r="C9" s="45">
        <v>0</v>
      </c>
      <c r="D9" s="52">
        <v>0</v>
      </c>
      <c r="E9" s="53">
        <v>0</v>
      </c>
      <c r="F9" s="39" t="s">
        <v>29</v>
      </c>
      <c r="G9" s="24">
        <v>31.4</v>
      </c>
      <c r="H9" s="8"/>
    </row>
    <row r="10" spans="1:8" ht="12.75" customHeight="1" x14ac:dyDescent="0.25">
      <c r="A10" s="10" t="s">
        <v>26</v>
      </c>
      <c r="B10" s="46">
        <f>'[3]Financial position'!$B$10</f>
        <v>38.200000000000003</v>
      </c>
      <c r="C10" s="47">
        <f>'[3]Financial position'!$C$10</f>
        <v>154.9</v>
      </c>
      <c r="D10" s="50">
        <f>[2]SOFP!$D$10</f>
        <v>172.2</v>
      </c>
      <c r="E10" s="51" t="str">
        <f>[1]SOFP!$B$10</f>
        <v>195.5</v>
      </c>
      <c r="F10" s="16">
        <v>260.60000000000002</v>
      </c>
      <c r="G10" s="13">
        <v>240</v>
      </c>
      <c r="H10" s="8"/>
    </row>
    <row r="11" spans="1:8" ht="12.75" customHeight="1" x14ac:dyDescent="0.25">
      <c r="A11" s="9" t="s">
        <v>39</v>
      </c>
      <c r="B11" s="9">
        <f>'[3]Financial position'!$B$11</f>
        <v>2970.9</v>
      </c>
      <c r="C11" s="9">
        <f>'[3]Financial position'!$C$11</f>
        <v>1926.7</v>
      </c>
      <c r="D11" s="37">
        <f>[2]SOFP!$D$11</f>
        <v>1734.4</v>
      </c>
      <c r="E11" s="37" t="str">
        <f>[1]SOFP!$B$11</f>
        <v>1,802.4</v>
      </c>
      <c r="F11" s="22">
        <v>1421.1</v>
      </c>
      <c r="G11" s="23">
        <v>1730.4</v>
      </c>
      <c r="H11" s="8"/>
    </row>
    <row r="12" spans="1:8" ht="12.75" customHeight="1" x14ac:dyDescent="0.25">
      <c r="A12" s="10" t="s">
        <v>40</v>
      </c>
      <c r="B12" s="42">
        <f>'[3]Financial position'!$B$12</f>
        <v>1191.7</v>
      </c>
      <c r="C12" s="43">
        <f>'[3]Financial position'!$C$12</f>
        <v>1066.5</v>
      </c>
      <c r="D12" s="48">
        <f>[2]SOFP!$D$12</f>
        <v>1085.7</v>
      </c>
      <c r="E12" s="49" t="str">
        <f>[1]SOFP!$B$12</f>
        <v>1,033.0</v>
      </c>
      <c r="F12" s="38">
        <v>896.4</v>
      </c>
      <c r="G12" s="12">
        <v>843.6</v>
      </c>
      <c r="H12" s="8"/>
    </row>
    <row r="13" spans="1:8" ht="12.75" customHeight="1" x14ac:dyDescent="0.25">
      <c r="A13" s="10" t="s">
        <v>41</v>
      </c>
      <c r="B13" s="46">
        <f>'[3]Financial position'!$B$13</f>
        <v>1779.2</v>
      </c>
      <c r="C13" s="47">
        <f>'[3]Financial position'!$C$13</f>
        <v>860.2</v>
      </c>
      <c r="D13" s="50">
        <f>[2]SOFP!$D$13</f>
        <v>648.70000000000005</v>
      </c>
      <c r="E13" s="51" t="str">
        <f>[1]SOFP!$B$13</f>
        <v>769.4</v>
      </c>
      <c r="F13" s="22">
        <v>524.70000000000005</v>
      </c>
      <c r="G13" s="25">
        <v>886.8</v>
      </c>
      <c r="H13" s="8"/>
    </row>
    <row r="14" spans="1:8" ht="12.75" customHeight="1" x14ac:dyDescent="0.25">
      <c r="A14" s="9" t="s">
        <v>42</v>
      </c>
      <c r="B14" s="37">
        <f>'[3]Financial position'!$B$14</f>
        <v>77.5</v>
      </c>
      <c r="C14" s="37">
        <f>'[3]Financial position'!$C$14</f>
        <v>21.1</v>
      </c>
      <c r="D14" s="37">
        <f>[2]SOFP!$D$14</f>
        <v>153.30000000000001</v>
      </c>
      <c r="E14" s="37">
        <v>0</v>
      </c>
      <c r="F14" s="62" t="s">
        <v>29</v>
      </c>
      <c r="G14" s="63">
        <v>29.4</v>
      </c>
      <c r="H14" s="8"/>
    </row>
    <row r="15" spans="1:8" ht="12.75" customHeight="1" x14ac:dyDescent="0.25">
      <c r="A15" s="26" t="s">
        <v>43</v>
      </c>
      <c r="B15" s="64">
        <f>'[3]Financial position'!$B$15</f>
        <v>15225.2</v>
      </c>
      <c r="C15" s="64">
        <f>'[3]Financial position'!$C$15</f>
        <v>10142.9</v>
      </c>
      <c r="D15" s="64">
        <f>[2]SOFP!$D$15</f>
        <v>8226.2999999999993</v>
      </c>
      <c r="E15" s="64" t="str">
        <f>[1]SOFP!$B$15</f>
        <v>7,338.1</v>
      </c>
      <c r="F15" s="65">
        <v>7348.8</v>
      </c>
      <c r="G15" s="66">
        <v>7472.8</v>
      </c>
      <c r="H15" s="8"/>
    </row>
    <row r="16" spans="1:8" ht="12.75" customHeight="1" x14ac:dyDescent="0.25">
      <c r="A16" s="9" t="s">
        <v>44</v>
      </c>
      <c r="B16" s="37">
        <f>'[3]Financial position'!$B$16</f>
        <v>8672.4</v>
      </c>
      <c r="C16" s="37">
        <f>'[3]Financial position'!$C$16</f>
        <v>5366.9</v>
      </c>
      <c r="D16" s="37">
        <f>[2]SOFP!$D$16</f>
        <v>4619.8</v>
      </c>
      <c r="E16" s="37" t="str">
        <f>[1]SOFP!$B$16</f>
        <v>4,339.5</v>
      </c>
      <c r="F16" s="67">
        <v>4130.1000000000004</v>
      </c>
      <c r="G16" s="68">
        <v>3828.2</v>
      </c>
      <c r="H16" s="8"/>
    </row>
    <row r="17" spans="1:8" ht="12.75" customHeight="1" x14ac:dyDescent="0.25">
      <c r="A17" s="9" t="s">
        <v>45</v>
      </c>
      <c r="B17" s="37">
        <f>'[3]Financial position'!$B$17</f>
        <v>4852.8999999999996</v>
      </c>
      <c r="C17" s="37">
        <f>'[3]Financial position'!$C$17</f>
        <v>3065.6</v>
      </c>
      <c r="D17" s="37">
        <f>[2]SOFP!$D$17</f>
        <v>2100.6999999999998</v>
      </c>
      <c r="E17" s="37" t="str">
        <f>[1]SOFP!$B$17</f>
        <v>2,213.2</v>
      </c>
      <c r="F17" s="67">
        <v>2396.3000000000002</v>
      </c>
      <c r="G17" s="68">
        <v>2728.1</v>
      </c>
      <c r="H17" s="8"/>
    </row>
    <row r="18" spans="1:8" ht="12.75" customHeight="1" x14ac:dyDescent="0.25">
      <c r="A18" s="10" t="s">
        <v>26</v>
      </c>
      <c r="B18" s="42">
        <f>'[3]Financial position'!$B$18</f>
        <v>1401.7</v>
      </c>
      <c r="C18" s="43">
        <f>'[3]Financial position'!$C$18</f>
        <v>503.8</v>
      </c>
      <c r="D18" s="42">
        <f>[2]SOFP!$D$18</f>
        <v>389.3</v>
      </c>
      <c r="E18" s="43" t="str">
        <f>[1]SOFP!$B$18</f>
        <v>399.8</v>
      </c>
      <c r="F18" s="54">
        <v>500.9</v>
      </c>
      <c r="G18" s="55">
        <v>499.9</v>
      </c>
      <c r="H18" s="8"/>
    </row>
    <row r="19" spans="1:8" ht="12.75" customHeight="1" x14ac:dyDescent="0.25">
      <c r="A19" s="10" t="s">
        <v>46</v>
      </c>
      <c r="B19" s="44">
        <f>'[3]Financial position'!$B$19</f>
        <v>2559.5</v>
      </c>
      <c r="C19" s="45">
        <f>'[3]Financial position'!$C$19</f>
        <v>1776.5</v>
      </c>
      <c r="D19" s="44">
        <f>[2]SOFP!$D$19</f>
        <v>653.4</v>
      </c>
      <c r="E19" s="45" t="str">
        <f>[1]SOFP!$B$19</f>
        <v>1,079.3</v>
      </c>
      <c r="F19" s="56">
        <v>1078.0999999999999</v>
      </c>
      <c r="G19" s="57">
        <v>1443.4</v>
      </c>
      <c r="H19" s="8"/>
    </row>
    <row r="20" spans="1:8" ht="12.75" customHeight="1" x14ac:dyDescent="0.25">
      <c r="A20" s="10" t="s">
        <v>47</v>
      </c>
      <c r="B20" s="44">
        <f>'[3]Financial position'!$B$20</f>
        <v>489.2</v>
      </c>
      <c r="C20" s="45">
        <f>'[3]Financial position'!$C$20</f>
        <v>397.1</v>
      </c>
      <c r="D20" s="44">
        <f>[2]SOFP!$D$20</f>
        <v>406.1</v>
      </c>
      <c r="E20" s="45" t="str">
        <f>[1]SOFP!$B$20</f>
        <v>370.5</v>
      </c>
      <c r="F20" s="58">
        <v>418.9</v>
      </c>
      <c r="G20" s="59">
        <v>361.9</v>
      </c>
      <c r="H20" s="8"/>
    </row>
    <row r="21" spans="1:8" ht="12.75" customHeight="1" x14ac:dyDescent="0.25">
      <c r="A21" s="10" t="s">
        <v>48</v>
      </c>
      <c r="B21" s="44">
        <f>'[3]Financial position'!$B$21</f>
        <v>379.1</v>
      </c>
      <c r="C21" s="45">
        <f>'[3]Financial position'!$C$21</f>
        <v>363.3</v>
      </c>
      <c r="D21" s="44">
        <f>[2]SOFP!$D$21</f>
        <v>359.7</v>
      </c>
      <c r="E21" s="45" t="str">
        <f>[1]SOFP!$B$21</f>
        <v>330.1</v>
      </c>
      <c r="F21" s="56">
        <v>355.1</v>
      </c>
      <c r="G21" s="57">
        <v>364.8</v>
      </c>
      <c r="H21" s="8"/>
    </row>
    <row r="22" spans="1:8" ht="12.75" customHeight="1" x14ac:dyDescent="0.25">
      <c r="A22" s="10" t="s">
        <v>49</v>
      </c>
      <c r="B22" s="44">
        <f>'[3]Financial position'!$B$22</f>
        <v>20.399999999999999</v>
      </c>
      <c r="C22" s="45">
        <f>'[3]Financial position'!$C$22</f>
        <v>20</v>
      </c>
      <c r="D22" s="44">
        <f>[2]SOFP!$D$22</f>
        <v>40.5</v>
      </c>
      <c r="E22" s="45" t="str">
        <f>[1]SOFP!$B$22</f>
        <v>22.4</v>
      </c>
      <c r="F22" s="58">
        <v>28.2</v>
      </c>
      <c r="G22" s="59">
        <v>33.4</v>
      </c>
      <c r="H22" s="8"/>
    </row>
    <row r="23" spans="1:8" ht="12.75" customHeight="1" x14ac:dyDescent="0.25">
      <c r="A23" s="10" t="s">
        <v>50</v>
      </c>
      <c r="B23" s="52">
        <v>0</v>
      </c>
      <c r="C23" s="53">
        <v>0</v>
      </c>
      <c r="D23" s="52">
        <v>0</v>
      </c>
      <c r="E23" s="53">
        <v>0</v>
      </c>
      <c r="F23" s="56" t="s">
        <v>29</v>
      </c>
      <c r="G23" s="57">
        <v>7.3</v>
      </c>
      <c r="H23" s="8"/>
    </row>
    <row r="24" spans="1:8" ht="12.75" customHeight="1" x14ac:dyDescent="0.25">
      <c r="A24" s="10" t="s">
        <v>51</v>
      </c>
      <c r="B24" s="46">
        <f>'[3]Financial position'!$B$23</f>
        <v>3</v>
      </c>
      <c r="C24" s="47">
        <f>'[3]Financial position'!$C$23</f>
        <v>4.9000000000000004</v>
      </c>
      <c r="D24" s="46">
        <f>[2]SOFP!$D$23</f>
        <v>245.4</v>
      </c>
      <c r="E24" s="47" t="str">
        <f>[1]SOFP!$B$23</f>
        <v>11.1</v>
      </c>
      <c r="F24" s="60">
        <v>15.1</v>
      </c>
      <c r="G24" s="61">
        <v>17.399999999999999</v>
      </c>
      <c r="H24" s="8"/>
    </row>
    <row r="25" spans="1:8" ht="12.75" customHeight="1" x14ac:dyDescent="0.25">
      <c r="A25" s="9" t="s">
        <v>52</v>
      </c>
      <c r="B25" s="9">
        <f>'[3]Financial position'!$B$24</f>
        <v>1699.9</v>
      </c>
      <c r="C25" s="9">
        <f>'[3]Financial position'!$C$24</f>
        <v>1710.4</v>
      </c>
      <c r="D25" s="9">
        <f>[2]SOFP!$D$25</f>
        <v>1505.8</v>
      </c>
      <c r="E25" s="9" t="str">
        <f>[1]SOFP!$B$24</f>
        <v>785.4</v>
      </c>
      <c r="F25" s="14">
        <v>822.4</v>
      </c>
      <c r="G25" s="15">
        <v>916.5</v>
      </c>
      <c r="H25" s="8"/>
    </row>
    <row r="26" spans="1:8" ht="12.75" customHeight="1" x14ac:dyDescent="0.25">
      <c r="A26" s="10" t="s">
        <v>53</v>
      </c>
      <c r="B26" s="42">
        <f>'[3]Financial position'!$B$25</f>
        <v>1373.2</v>
      </c>
      <c r="C26" s="43">
        <f>'[3]Financial position'!$C$25</f>
        <v>873.4</v>
      </c>
      <c r="D26" s="42">
        <f>[2]SOFP!$D$26</f>
        <v>807.6</v>
      </c>
      <c r="E26" s="43" t="str">
        <f>[1]SOFP!$B$25</f>
        <v>690.7</v>
      </c>
      <c r="F26" s="38">
        <v>733.6</v>
      </c>
      <c r="G26" s="12">
        <v>735</v>
      </c>
      <c r="H26" s="8"/>
    </row>
    <row r="27" spans="1:8" ht="12.75" customHeight="1" x14ac:dyDescent="0.25">
      <c r="A27" s="10" t="s">
        <v>54</v>
      </c>
      <c r="B27" s="44">
        <f>'[3]Financial position'!$B$26</f>
        <v>178.7</v>
      </c>
      <c r="C27" s="45">
        <f>'[3]Financial position'!$C$26</f>
        <v>719.1</v>
      </c>
      <c r="D27" s="44">
        <f>[2]SOFP!$D$27</f>
        <v>583.1</v>
      </c>
      <c r="E27" s="45">
        <v>0</v>
      </c>
      <c r="F27" s="39" t="s">
        <v>29</v>
      </c>
      <c r="G27" s="24">
        <v>83.5</v>
      </c>
      <c r="H27" s="8"/>
    </row>
    <row r="28" spans="1:8" ht="12.75" customHeight="1" x14ac:dyDescent="0.25">
      <c r="A28" s="10" t="s">
        <v>55</v>
      </c>
      <c r="B28" s="44">
        <f>'[3]Financial position'!$B$27</f>
        <v>44.1</v>
      </c>
      <c r="C28" s="45">
        <f>'[3]Financial position'!$C$27</f>
        <v>31</v>
      </c>
      <c r="D28" s="44">
        <f>[2]SOFP!$D$28</f>
        <v>38.4</v>
      </c>
      <c r="E28" s="45" t="str">
        <f>[1]SOFP!$B$26</f>
        <v>30.6</v>
      </c>
      <c r="F28" s="40">
        <v>28.4</v>
      </c>
      <c r="G28" s="29">
        <v>33.799999999999997</v>
      </c>
      <c r="H28" s="8"/>
    </row>
    <row r="29" spans="1:8" ht="12.75" customHeight="1" x14ac:dyDescent="0.25">
      <c r="A29" s="10" t="s">
        <v>56</v>
      </c>
      <c r="B29" s="46">
        <f>'[3]Financial position'!$B$28</f>
        <v>103.9</v>
      </c>
      <c r="C29" s="47">
        <f>'[3]Financial position'!$C$28</f>
        <v>86.9</v>
      </c>
      <c r="D29" s="46">
        <f>[2]SOFP!$D$29</f>
        <v>76.7</v>
      </c>
      <c r="E29" s="47" t="str">
        <f>[1]SOFP!$B$27</f>
        <v>64.1</v>
      </c>
      <c r="F29" s="16">
        <v>60.4</v>
      </c>
      <c r="G29" s="13">
        <v>64.2</v>
      </c>
      <c r="H29" s="8"/>
    </row>
    <row r="30" spans="1:8" ht="12.75" customHeight="1" x14ac:dyDescent="0.25">
      <c r="A30" s="26" t="s">
        <v>57</v>
      </c>
      <c r="B30" s="17">
        <f>'[3]Financial position'!$B$29</f>
        <v>15225.2</v>
      </c>
      <c r="C30" s="17">
        <f>'[3]Financial position'!$C$29</f>
        <v>10142.9</v>
      </c>
      <c r="D30" s="17">
        <f>[2]SOFP!$D$30</f>
        <v>8226.2999999999993</v>
      </c>
      <c r="E30" s="17" t="str">
        <f>[1]SOFP!$B$29</f>
        <v>7,338.1</v>
      </c>
      <c r="F30" s="27">
        <v>7348.8</v>
      </c>
      <c r="G30" s="28">
        <v>7472.8</v>
      </c>
      <c r="H30" s="8"/>
    </row>
    <row r="31" spans="1:8" x14ac:dyDescent="0.25">
      <c r="A31" s="18"/>
      <c r="B31" s="18"/>
      <c r="C31" s="18"/>
      <c r="D31" s="18"/>
      <c r="E31" s="18"/>
      <c r="F31" s="18"/>
      <c r="G31" s="18"/>
    </row>
    <row r="32" spans="1:8" x14ac:dyDescent="0.25">
      <c r="A32" s="18"/>
      <c r="B32" s="18"/>
      <c r="C32" s="18"/>
      <c r="D32" s="18"/>
      <c r="E32" s="18"/>
      <c r="F32" s="18"/>
      <c r="G32" s="18"/>
    </row>
    <row r="33" spans="1:7" x14ac:dyDescent="0.25">
      <c r="A33" s="18"/>
      <c r="B33" s="18"/>
      <c r="C33" s="18"/>
      <c r="D33" s="18"/>
      <c r="E33" s="18"/>
      <c r="F33" s="18"/>
      <c r="G33" s="18"/>
    </row>
    <row r="34" spans="1:7" x14ac:dyDescent="0.25">
      <c r="A34" s="18"/>
      <c r="B34" s="18"/>
      <c r="C34" s="18"/>
      <c r="D34" s="18"/>
      <c r="E34" s="18"/>
      <c r="F34" s="18"/>
      <c r="G34" s="18"/>
    </row>
    <row r="35" spans="1:7" x14ac:dyDescent="0.25">
      <c r="A35" s="18"/>
      <c r="B35" s="18"/>
      <c r="C35" s="18"/>
      <c r="D35" s="18"/>
      <c r="E35" s="18"/>
      <c r="F35" s="18"/>
      <c r="G35" s="18"/>
    </row>
    <row r="36" spans="1:7" x14ac:dyDescent="0.25">
      <c r="A36" s="18"/>
      <c r="B36" s="18"/>
      <c r="C36" s="18"/>
      <c r="D36" s="18"/>
      <c r="E36" s="18"/>
      <c r="F36" s="18"/>
      <c r="G36" s="18"/>
    </row>
    <row r="37" spans="1:7" x14ac:dyDescent="0.25">
      <c r="A37" s="18"/>
      <c r="B37" s="18"/>
      <c r="C37" s="18"/>
      <c r="D37" s="18"/>
      <c r="E37" s="18"/>
      <c r="F37" s="18"/>
      <c r="G37" s="18"/>
    </row>
    <row r="38" spans="1:7" x14ac:dyDescent="0.25">
      <c r="A38" s="18"/>
      <c r="B38" s="18"/>
      <c r="C38" s="18"/>
      <c r="D38" s="18"/>
      <c r="E38" s="18"/>
      <c r="F38" s="18"/>
      <c r="G38" s="18"/>
    </row>
    <row r="39" spans="1:7" x14ac:dyDescent="0.25">
      <c r="A39" s="18"/>
      <c r="B39" s="18"/>
      <c r="C39" s="18"/>
      <c r="D39" s="18"/>
      <c r="E39" s="18"/>
      <c r="F39" s="18"/>
      <c r="G39" s="18"/>
    </row>
    <row r="40" spans="1:7" x14ac:dyDescent="0.25">
      <c r="A40" s="18"/>
      <c r="B40" s="18"/>
      <c r="C40" s="18"/>
      <c r="D40" s="18"/>
      <c r="E40" s="18"/>
      <c r="F40" s="18"/>
      <c r="G40" s="18"/>
    </row>
    <row r="41" spans="1:7" x14ac:dyDescent="0.25">
      <c r="A41" s="18"/>
      <c r="B41" s="18"/>
      <c r="C41" s="18"/>
      <c r="D41" s="18"/>
      <c r="E41" s="18"/>
      <c r="F41" s="18"/>
      <c r="G41" s="18"/>
    </row>
    <row r="42" spans="1:7" x14ac:dyDescent="0.25">
      <c r="A42" s="18"/>
      <c r="B42" s="18"/>
      <c r="C42" s="18"/>
      <c r="D42" s="18"/>
      <c r="E42" s="18"/>
      <c r="F42" s="18"/>
      <c r="G42" s="18"/>
    </row>
    <row r="43" spans="1:7" x14ac:dyDescent="0.25">
      <c r="A43" s="18"/>
      <c r="B43" s="18"/>
      <c r="C43" s="18"/>
      <c r="D43" s="18"/>
      <c r="E43" s="18"/>
      <c r="F43" s="18"/>
      <c r="G43" s="18"/>
    </row>
    <row r="44" spans="1:7" x14ac:dyDescent="0.25">
      <c r="A44" s="18"/>
      <c r="B44" s="18"/>
      <c r="C44" s="18"/>
      <c r="D44" s="18"/>
      <c r="E44" s="18"/>
      <c r="F44" s="18"/>
      <c r="G44" s="18"/>
    </row>
    <row r="45" spans="1:7" x14ac:dyDescent="0.25">
      <c r="A45" s="18"/>
      <c r="B45" s="18"/>
      <c r="C45" s="18"/>
      <c r="D45" s="18"/>
      <c r="E45" s="18"/>
      <c r="F45" s="18"/>
      <c r="G45" s="18"/>
    </row>
    <row r="46" spans="1:7" x14ac:dyDescent="0.25">
      <c r="A46" s="18"/>
      <c r="B46" s="18"/>
      <c r="C46" s="18"/>
      <c r="D46" s="18"/>
      <c r="E46" s="18"/>
      <c r="F46" s="18"/>
      <c r="G46" s="18"/>
    </row>
    <row r="47" spans="1:7" x14ac:dyDescent="0.25">
      <c r="A47" s="18"/>
      <c r="B47" s="18"/>
      <c r="C47" s="18"/>
      <c r="D47" s="18"/>
      <c r="E47" s="18"/>
      <c r="F47" s="18"/>
      <c r="G47" s="18"/>
    </row>
    <row r="48" spans="1:7" x14ac:dyDescent="0.25">
      <c r="A48" s="18"/>
      <c r="B48" s="18"/>
      <c r="C48" s="18"/>
      <c r="D48" s="18"/>
      <c r="E48" s="18"/>
      <c r="F48" s="18"/>
      <c r="G48" s="18"/>
    </row>
    <row r="49" spans="1:7" x14ac:dyDescent="0.25">
      <c r="A49" s="18"/>
      <c r="B49" s="18"/>
      <c r="C49" s="18"/>
      <c r="D49" s="18"/>
      <c r="E49" s="18"/>
      <c r="F49" s="18"/>
      <c r="G49" s="18"/>
    </row>
    <row r="50" spans="1:7" x14ac:dyDescent="0.25">
      <c r="A50" s="18"/>
      <c r="B50" s="18"/>
      <c r="C50" s="18"/>
      <c r="D50" s="18"/>
      <c r="E50" s="18"/>
      <c r="F50" s="18"/>
      <c r="G50" s="18"/>
    </row>
    <row r="51" spans="1:7" x14ac:dyDescent="0.25">
      <c r="A51" s="18"/>
      <c r="B51" s="18"/>
      <c r="C51" s="18"/>
      <c r="D51" s="18"/>
      <c r="E51" s="18"/>
      <c r="F51" s="18"/>
      <c r="G51" s="18"/>
    </row>
    <row r="52" spans="1:7" x14ac:dyDescent="0.25">
      <c r="A52" s="18"/>
      <c r="B52" s="18"/>
      <c r="C52" s="18"/>
      <c r="D52" s="18"/>
      <c r="E52" s="18"/>
      <c r="F52" s="18"/>
      <c r="G52" s="18"/>
    </row>
    <row r="53" spans="1:7" x14ac:dyDescent="0.25">
      <c r="A53" s="18"/>
      <c r="B53" s="18"/>
      <c r="C53" s="18"/>
      <c r="D53" s="18"/>
      <c r="E53" s="18"/>
      <c r="F53" s="18"/>
      <c r="G53" s="18"/>
    </row>
    <row r="54" spans="1:7" x14ac:dyDescent="0.25">
      <c r="A54" s="18"/>
      <c r="B54" s="18"/>
      <c r="C54" s="18"/>
      <c r="D54" s="18"/>
      <c r="E54" s="18"/>
      <c r="F54" s="18"/>
      <c r="G54" s="18"/>
    </row>
    <row r="55" spans="1:7" x14ac:dyDescent="0.25">
      <c r="A55" s="18"/>
      <c r="B55" s="18"/>
      <c r="C55" s="18"/>
      <c r="D55" s="18"/>
      <c r="E55" s="18"/>
      <c r="F55" s="18"/>
      <c r="G55" s="18"/>
    </row>
    <row r="56" spans="1:7" x14ac:dyDescent="0.25">
      <c r="A56" s="18"/>
      <c r="B56" s="18"/>
      <c r="C56" s="18"/>
      <c r="D56" s="18"/>
      <c r="E56" s="18"/>
      <c r="F56" s="18"/>
      <c r="G56" s="18"/>
    </row>
    <row r="57" spans="1:7" x14ac:dyDescent="0.25">
      <c r="A57" s="18"/>
      <c r="B57" s="18"/>
      <c r="C57" s="18"/>
      <c r="D57" s="18"/>
      <c r="E57" s="18"/>
      <c r="F57" s="18"/>
      <c r="G57" s="18"/>
    </row>
    <row r="58" spans="1:7" x14ac:dyDescent="0.25">
      <c r="A58" s="18"/>
      <c r="B58" s="18"/>
      <c r="C58" s="18"/>
      <c r="D58" s="18"/>
      <c r="E58" s="18"/>
      <c r="F58" s="18"/>
      <c r="G58" s="18"/>
    </row>
    <row r="59" spans="1:7" x14ac:dyDescent="0.25">
      <c r="A59" s="18"/>
      <c r="B59" s="18"/>
      <c r="C59" s="18"/>
      <c r="D59" s="18"/>
      <c r="E59" s="18"/>
      <c r="F59" s="18"/>
      <c r="G59" s="18"/>
    </row>
    <row r="60" spans="1:7" x14ac:dyDescent="0.25">
      <c r="A60" s="18"/>
      <c r="B60" s="18"/>
      <c r="C60" s="18"/>
      <c r="D60" s="18"/>
      <c r="E60" s="18"/>
      <c r="F60" s="18"/>
      <c r="G60" s="18"/>
    </row>
    <row r="61" spans="1:7" x14ac:dyDescent="0.25">
      <c r="A61" s="18"/>
      <c r="B61" s="18"/>
      <c r="C61" s="18"/>
      <c r="D61" s="18"/>
      <c r="E61" s="18"/>
      <c r="F61" s="18"/>
      <c r="G61" s="18"/>
    </row>
    <row r="62" spans="1:7" x14ac:dyDescent="0.25">
      <c r="A62" s="18"/>
      <c r="B62" s="18"/>
      <c r="C62" s="18"/>
      <c r="D62" s="18"/>
      <c r="E62" s="18"/>
      <c r="F62" s="18"/>
      <c r="G62" s="18"/>
    </row>
    <row r="63" spans="1:7" x14ac:dyDescent="0.25">
      <c r="A63" s="18"/>
      <c r="B63" s="18"/>
      <c r="C63" s="18"/>
      <c r="D63" s="18"/>
      <c r="E63" s="18"/>
      <c r="F63" s="18"/>
      <c r="G63" s="18"/>
    </row>
    <row r="64" spans="1:7" x14ac:dyDescent="0.25">
      <c r="A64" s="18"/>
      <c r="B64" s="18"/>
      <c r="C64" s="18"/>
      <c r="D64" s="18"/>
      <c r="E64" s="18"/>
      <c r="F64" s="18"/>
      <c r="G64" s="18"/>
    </row>
    <row r="65" spans="1:7" x14ac:dyDescent="0.25">
      <c r="A65" s="18"/>
      <c r="B65" s="18"/>
      <c r="C65" s="18"/>
      <c r="D65" s="18"/>
      <c r="E65" s="18"/>
      <c r="F65" s="18"/>
      <c r="G65" s="18"/>
    </row>
    <row r="66" spans="1:7" x14ac:dyDescent="0.25">
      <c r="A66" s="18"/>
      <c r="B66" s="18"/>
      <c r="C66" s="18"/>
      <c r="D66" s="18"/>
      <c r="E66" s="18"/>
      <c r="F66" s="18"/>
      <c r="G66" s="18"/>
    </row>
    <row r="67" spans="1:7" x14ac:dyDescent="0.25">
      <c r="A67" s="18"/>
      <c r="B67" s="18"/>
      <c r="C67" s="18"/>
      <c r="D67" s="18"/>
      <c r="E67" s="18"/>
      <c r="F67" s="18"/>
      <c r="G67" s="18"/>
    </row>
    <row r="68" spans="1:7" x14ac:dyDescent="0.25">
      <c r="A68" s="18"/>
      <c r="B68" s="18"/>
      <c r="C68" s="18"/>
      <c r="D68" s="18"/>
      <c r="E68" s="18"/>
      <c r="F68" s="18"/>
      <c r="G68" s="18"/>
    </row>
    <row r="69" spans="1:7" x14ac:dyDescent="0.25">
      <c r="A69" s="19"/>
      <c r="B69" s="19"/>
      <c r="C69" s="19"/>
      <c r="D69" s="19"/>
      <c r="E69" s="19"/>
      <c r="F69" s="19"/>
      <c r="G69" s="19"/>
    </row>
    <row r="70" spans="1:7" x14ac:dyDescent="0.25">
      <c r="A70" s="19"/>
      <c r="B70" s="19"/>
      <c r="C70" s="19"/>
      <c r="D70" s="19"/>
      <c r="E70" s="19"/>
      <c r="F70" s="19"/>
      <c r="G70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011F-5C95-4DC7-90CB-1DE543FD42E7}">
  <dimension ref="A1:I40"/>
  <sheetViews>
    <sheetView tabSelected="1" workbookViewId="0">
      <selection activeCell="G11" sqref="G11"/>
    </sheetView>
  </sheetViews>
  <sheetFormatPr defaultColWidth="9.140625" defaultRowHeight="15" x14ac:dyDescent="0.25"/>
  <cols>
    <col min="1" max="1" width="53.5703125" style="2" customWidth="1"/>
    <col min="2" max="3" width="20.28515625" style="2" customWidth="1"/>
    <col min="4" max="4" width="18.140625" style="2" customWidth="1"/>
    <col min="5" max="5" width="17.140625" style="2" customWidth="1"/>
    <col min="6" max="7" width="12.7109375" style="2" customWidth="1"/>
    <col min="8" max="16384" width="9.140625" style="2"/>
  </cols>
  <sheetData>
    <row r="1" spans="1:8" ht="23.25" x14ac:dyDescent="0.25">
      <c r="A1" s="30" t="s">
        <v>58</v>
      </c>
      <c r="B1" s="30"/>
      <c r="C1" s="30"/>
      <c r="D1" s="30"/>
      <c r="E1" s="30"/>
      <c r="F1" s="30"/>
      <c r="G1" s="30"/>
      <c r="H1" s="30"/>
    </row>
    <row r="2" spans="1:8" ht="26.1" customHeight="1" x14ac:dyDescent="0.25">
      <c r="A2" s="4"/>
      <c r="B2" s="4"/>
      <c r="C2" s="4"/>
      <c r="D2" s="4"/>
      <c r="E2" s="4"/>
      <c r="F2" s="36"/>
      <c r="G2" s="36"/>
      <c r="H2" s="4"/>
    </row>
    <row r="3" spans="1:8" ht="22.5" x14ac:dyDescent="0.25">
      <c r="A3" s="21" t="s">
        <v>31</v>
      </c>
      <c r="B3" s="127" t="s">
        <v>115</v>
      </c>
      <c r="C3" s="127" t="s">
        <v>116</v>
      </c>
      <c r="D3" s="127" t="s">
        <v>119</v>
      </c>
      <c r="E3" s="127" t="s">
        <v>118</v>
      </c>
      <c r="F3" s="6" t="s">
        <v>113</v>
      </c>
      <c r="G3" s="7" t="s">
        <v>114</v>
      </c>
      <c r="H3" s="3"/>
    </row>
    <row r="4" spans="1:8" x14ac:dyDescent="0.25">
      <c r="A4" s="31" t="s">
        <v>59</v>
      </c>
      <c r="B4" s="131">
        <v>3772.2</v>
      </c>
      <c r="C4" s="131">
        <v>1985.5</v>
      </c>
      <c r="D4" s="131">
        <v>1574.9</v>
      </c>
      <c r="E4" s="131" t="s">
        <v>86</v>
      </c>
      <c r="F4" s="14">
        <v>1599.2</v>
      </c>
      <c r="G4" s="15">
        <v>1256.7</v>
      </c>
      <c r="H4" s="8"/>
    </row>
    <row r="5" spans="1:8" x14ac:dyDescent="0.25">
      <c r="A5" s="32" t="s">
        <v>21</v>
      </c>
      <c r="B5" s="132">
        <v>0</v>
      </c>
      <c r="C5" s="133">
        <v>2135.3000000000002</v>
      </c>
      <c r="D5" s="133">
        <v>1326.7</v>
      </c>
      <c r="E5" s="134" t="s">
        <v>87</v>
      </c>
      <c r="F5" s="38">
        <v>1366.8</v>
      </c>
      <c r="G5" s="12">
        <v>1282.9000000000001</v>
      </c>
      <c r="H5" s="11"/>
    </row>
    <row r="6" spans="1:8" x14ac:dyDescent="0.25">
      <c r="A6" s="32" t="s">
        <v>8</v>
      </c>
      <c r="B6" s="135">
        <v>0</v>
      </c>
      <c r="C6" s="136">
        <v>627.4</v>
      </c>
      <c r="D6" s="136">
        <v>795.3</v>
      </c>
      <c r="E6" s="137" t="s">
        <v>88</v>
      </c>
      <c r="F6" s="39">
        <v>713.2</v>
      </c>
      <c r="G6" s="24">
        <v>661.3</v>
      </c>
      <c r="H6" s="11"/>
    </row>
    <row r="7" spans="1:8" x14ac:dyDescent="0.25">
      <c r="A7" s="32" t="s">
        <v>60</v>
      </c>
      <c r="B7" s="135">
        <v>-1.2</v>
      </c>
      <c r="C7" s="136">
        <v>-0.4</v>
      </c>
      <c r="D7" s="136">
        <v>-1.3</v>
      </c>
      <c r="E7" s="137" t="s">
        <v>89</v>
      </c>
      <c r="F7" s="39">
        <v>-4.4000000000000004</v>
      </c>
      <c r="G7" s="24">
        <v>-3.5</v>
      </c>
      <c r="H7" s="11"/>
    </row>
    <row r="8" spans="1:8" x14ac:dyDescent="0.25">
      <c r="A8" s="32" t="s">
        <v>61</v>
      </c>
      <c r="B8" s="135">
        <v>0</v>
      </c>
      <c r="C8" s="136">
        <v>-38.200000000000003</v>
      </c>
      <c r="D8" s="136">
        <v>-32</v>
      </c>
      <c r="E8" s="137" t="s">
        <v>90</v>
      </c>
      <c r="F8" s="39">
        <v>-37.299999999999997</v>
      </c>
      <c r="G8" s="24" t="s">
        <v>29</v>
      </c>
      <c r="H8" s="11"/>
    </row>
    <row r="9" spans="1:8" x14ac:dyDescent="0.25">
      <c r="A9" s="32" t="s">
        <v>62</v>
      </c>
      <c r="B9" s="135">
        <v>0</v>
      </c>
      <c r="C9" s="136">
        <v>-90.2</v>
      </c>
      <c r="D9" s="136">
        <v>221.2</v>
      </c>
      <c r="E9" s="137" t="s">
        <v>91</v>
      </c>
      <c r="F9" s="39">
        <v>208.8</v>
      </c>
      <c r="G9" s="24">
        <v>-129.9</v>
      </c>
      <c r="H9" s="8"/>
    </row>
    <row r="10" spans="1:8" x14ac:dyDescent="0.25">
      <c r="A10" s="32" t="s">
        <v>63</v>
      </c>
      <c r="B10" s="135">
        <v>-0.7</v>
      </c>
      <c r="C10" s="136">
        <v>-0.7</v>
      </c>
      <c r="D10" s="136">
        <v>-0.7</v>
      </c>
      <c r="E10" s="137" t="s">
        <v>92</v>
      </c>
      <c r="F10" s="39">
        <v>-0.9</v>
      </c>
      <c r="G10" s="24">
        <v>-1.1000000000000001</v>
      </c>
      <c r="H10" s="11"/>
    </row>
    <row r="11" spans="1:8" x14ac:dyDescent="0.25">
      <c r="A11" s="32" t="s">
        <v>64</v>
      </c>
      <c r="B11" s="135">
        <v>187.4</v>
      </c>
      <c r="C11" s="136">
        <v>13.9</v>
      </c>
      <c r="D11" s="136">
        <v>-199.1</v>
      </c>
      <c r="E11" s="137" t="s">
        <v>93</v>
      </c>
      <c r="F11" s="39">
        <v>-89.4</v>
      </c>
      <c r="G11" s="24">
        <v>-171.8</v>
      </c>
      <c r="H11" s="11"/>
    </row>
    <row r="12" spans="1:8" x14ac:dyDescent="0.25">
      <c r="A12" s="32" t="s">
        <v>65</v>
      </c>
      <c r="B12" s="140">
        <v>-1012.2</v>
      </c>
      <c r="C12" s="138">
        <v>-661.6</v>
      </c>
      <c r="D12" s="138">
        <v>-535.20000000000005</v>
      </c>
      <c r="E12" s="139" t="s">
        <v>94</v>
      </c>
      <c r="F12" s="16">
        <v>-557.6</v>
      </c>
      <c r="G12" s="13">
        <v>-381.2</v>
      </c>
      <c r="H12" s="8"/>
    </row>
    <row r="13" spans="1:8" x14ac:dyDescent="0.25">
      <c r="A13" s="31" t="s">
        <v>66</v>
      </c>
      <c r="B13" s="131">
        <v>-761.9</v>
      </c>
      <c r="C13" s="131">
        <v>-378.5</v>
      </c>
      <c r="D13" s="131">
        <v>-382.1</v>
      </c>
      <c r="E13" s="131" t="s">
        <v>95</v>
      </c>
      <c r="F13" s="14">
        <v>-369</v>
      </c>
      <c r="G13" s="15">
        <v>-145.30000000000001</v>
      </c>
      <c r="H13" s="8"/>
    </row>
    <row r="14" spans="1:8" x14ac:dyDescent="0.25">
      <c r="A14" s="32" t="s">
        <v>28</v>
      </c>
      <c r="B14" s="132">
        <v>-707.1</v>
      </c>
      <c r="C14" s="133">
        <v>-350.9</v>
      </c>
      <c r="D14" s="133">
        <v>-368.6</v>
      </c>
      <c r="E14" s="134" t="s">
        <v>96</v>
      </c>
      <c r="F14" s="38">
        <v>-322.3</v>
      </c>
      <c r="G14" s="12">
        <v>-137.69999999999999</v>
      </c>
      <c r="H14" s="11"/>
    </row>
    <row r="15" spans="1:8" x14ac:dyDescent="0.25">
      <c r="A15" s="32" t="s">
        <v>67</v>
      </c>
      <c r="B15" s="140">
        <v>-54.1</v>
      </c>
      <c r="C15" s="138">
        <v>-27.6</v>
      </c>
      <c r="D15" s="138">
        <v>-13.5</v>
      </c>
      <c r="E15" s="139" t="s">
        <v>97</v>
      </c>
      <c r="F15" s="16">
        <v>-46.7</v>
      </c>
      <c r="G15" s="13">
        <v>-7.6</v>
      </c>
      <c r="H15" s="11"/>
    </row>
    <row r="16" spans="1:8" s="125" customFormat="1" x14ac:dyDescent="0.25">
      <c r="A16" s="121" t="s">
        <v>68</v>
      </c>
      <c r="B16" s="141">
        <v>-2765.8</v>
      </c>
      <c r="C16" s="141">
        <v>-2590.6</v>
      </c>
      <c r="D16" s="141">
        <v>-1369.7</v>
      </c>
      <c r="E16" s="141" t="s">
        <v>98</v>
      </c>
      <c r="F16" s="122">
        <v>-1070.5</v>
      </c>
      <c r="G16" s="123">
        <v>-607.4</v>
      </c>
      <c r="H16" s="124"/>
    </row>
    <row r="17" spans="1:9" x14ac:dyDescent="0.25">
      <c r="A17" s="32" t="s">
        <v>69</v>
      </c>
      <c r="B17" s="132">
        <v>-1398.5</v>
      </c>
      <c r="C17" s="133">
        <v>-1183.4000000000001</v>
      </c>
      <c r="D17" s="133">
        <v>-1054.7</v>
      </c>
      <c r="E17" s="134" t="s">
        <v>99</v>
      </c>
      <c r="F17" s="38">
        <v>-1088.7</v>
      </c>
      <c r="G17" s="12">
        <v>-583.70000000000005</v>
      </c>
      <c r="H17" s="11"/>
    </row>
    <row r="18" spans="1:9" x14ac:dyDescent="0.25">
      <c r="A18" s="32" t="s">
        <v>70</v>
      </c>
      <c r="B18" s="135">
        <v>-23.8</v>
      </c>
      <c r="C18" s="136">
        <v>-5.2</v>
      </c>
      <c r="D18" s="136">
        <v>35.5</v>
      </c>
      <c r="E18" s="137" t="s">
        <v>100</v>
      </c>
      <c r="F18" s="39">
        <v>28.7</v>
      </c>
      <c r="G18" s="24">
        <v>-7.1</v>
      </c>
      <c r="H18" s="8"/>
    </row>
    <row r="19" spans="1:9" x14ac:dyDescent="0.25">
      <c r="A19" s="32" t="s">
        <v>71</v>
      </c>
      <c r="B19" s="135">
        <v>2.2000000000000002</v>
      </c>
      <c r="C19" s="136">
        <v>2.7</v>
      </c>
      <c r="D19" s="136">
        <v>2</v>
      </c>
      <c r="E19" s="137" t="s">
        <v>101</v>
      </c>
      <c r="F19" s="39">
        <v>2.8</v>
      </c>
      <c r="G19" s="24">
        <v>0.7</v>
      </c>
      <c r="H19" s="11"/>
    </row>
    <row r="20" spans="1:9" x14ac:dyDescent="0.25">
      <c r="A20" s="32" t="s">
        <v>72</v>
      </c>
      <c r="B20" s="135">
        <v>-93.4</v>
      </c>
      <c r="C20" s="136">
        <v>-57.6</v>
      </c>
      <c r="D20" s="136">
        <v>-30.6</v>
      </c>
      <c r="E20" s="137" t="s">
        <v>102</v>
      </c>
      <c r="F20" s="39">
        <v>-27.4</v>
      </c>
      <c r="G20" s="24">
        <v>-0.6</v>
      </c>
      <c r="H20" s="11"/>
    </row>
    <row r="21" spans="1:9" x14ac:dyDescent="0.25">
      <c r="A21" s="32" t="s">
        <v>73</v>
      </c>
      <c r="B21" s="135">
        <v>0</v>
      </c>
      <c r="C21" s="136">
        <v>0</v>
      </c>
      <c r="D21" s="136">
        <v>0</v>
      </c>
      <c r="E21" s="137" t="s">
        <v>29</v>
      </c>
      <c r="F21" s="39">
        <v>5</v>
      </c>
      <c r="G21" s="24">
        <v>37.5</v>
      </c>
      <c r="H21" s="11"/>
      <c r="I21" s="128"/>
    </row>
    <row r="22" spans="1:9" x14ac:dyDescent="0.25">
      <c r="A22" s="32" t="s">
        <v>37</v>
      </c>
      <c r="B22" s="135">
        <v>0</v>
      </c>
      <c r="C22" s="136">
        <v>0</v>
      </c>
      <c r="D22" s="136">
        <v>0</v>
      </c>
      <c r="E22" s="137">
        <v>0</v>
      </c>
      <c r="F22" s="39" t="s">
        <v>29</v>
      </c>
      <c r="G22" s="24">
        <v>-68.400000000000006</v>
      </c>
      <c r="H22" s="8"/>
      <c r="I22" s="128"/>
    </row>
    <row r="23" spans="1:9" x14ac:dyDescent="0.25">
      <c r="A23" s="32" t="s">
        <v>74</v>
      </c>
      <c r="B23" s="135">
        <v>882</v>
      </c>
      <c r="C23" s="136">
        <v>56.6</v>
      </c>
      <c r="D23" s="136">
        <v>5</v>
      </c>
      <c r="E23" s="137" t="s">
        <v>103</v>
      </c>
      <c r="F23" s="39">
        <v>19.2</v>
      </c>
      <c r="G23" s="24">
        <v>22.9</v>
      </c>
      <c r="H23" s="11"/>
      <c r="I23" s="128"/>
    </row>
    <row r="24" spans="1:9" x14ac:dyDescent="0.25">
      <c r="A24" s="32" t="s">
        <v>75</v>
      </c>
      <c r="B24" s="140">
        <v>-10.1</v>
      </c>
      <c r="C24" s="138">
        <v>-13.2</v>
      </c>
      <c r="D24" s="138">
        <v>-10.7</v>
      </c>
      <c r="E24" s="139" t="s">
        <v>104</v>
      </c>
      <c r="F24" s="16">
        <v>-10.1</v>
      </c>
      <c r="G24" s="13">
        <v>-8.6999999999999993</v>
      </c>
      <c r="H24" s="11"/>
      <c r="I24" s="128"/>
    </row>
    <row r="25" spans="1:9" x14ac:dyDescent="0.25">
      <c r="A25" s="32" t="s">
        <v>143</v>
      </c>
      <c r="B25" s="142">
        <v>0</v>
      </c>
      <c r="C25" s="142">
        <v>-1452.5</v>
      </c>
      <c r="D25" s="142">
        <v>0</v>
      </c>
      <c r="E25" s="142">
        <v>0</v>
      </c>
      <c r="F25" s="39">
        <v>0</v>
      </c>
      <c r="G25" s="71">
        <v>0</v>
      </c>
      <c r="H25" s="11"/>
      <c r="I25" s="128"/>
    </row>
    <row r="26" spans="1:9" x14ac:dyDescent="0.25">
      <c r="A26" s="32" t="s">
        <v>144</v>
      </c>
      <c r="B26" s="142">
        <v>0</v>
      </c>
      <c r="C26" s="142" t="s">
        <v>29</v>
      </c>
      <c r="D26" s="142">
        <v>-247.1</v>
      </c>
      <c r="E26" s="142"/>
      <c r="F26" s="39"/>
      <c r="G26" s="71"/>
      <c r="H26" s="11"/>
      <c r="I26" s="128"/>
    </row>
    <row r="27" spans="1:9" x14ac:dyDescent="0.25">
      <c r="A27" s="32" t="s">
        <v>145</v>
      </c>
      <c r="B27" s="142">
        <v>0</v>
      </c>
      <c r="C27" s="142">
        <v>-65.3</v>
      </c>
      <c r="D27" s="142">
        <v>-69.099999999999994</v>
      </c>
      <c r="E27" s="142"/>
      <c r="F27" s="39"/>
      <c r="G27" s="71"/>
      <c r="H27" s="11"/>
      <c r="I27" s="128"/>
    </row>
    <row r="28" spans="1:9" x14ac:dyDescent="0.25">
      <c r="A28" s="32" t="s">
        <v>146</v>
      </c>
      <c r="B28" s="142">
        <v>0</v>
      </c>
      <c r="C28" s="142">
        <v>62.3</v>
      </c>
      <c r="D28" s="142">
        <v>0</v>
      </c>
      <c r="E28" s="142"/>
      <c r="F28" s="39"/>
      <c r="G28" s="71"/>
      <c r="H28" s="11"/>
      <c r="I28" s="128"/>
    </row>
    <row r="29" spans="1:9" x14ac:dyDescent="0.25">
      <c r="A29" s="32" t="s">
        <v>147</v>
      </c>
      <c r="B29" s="142">
        <v>0</v>
      </c>
      <c r="C29" s="142">
        <v>65</v>
      </c>
      <c r="D29" s="142">
        <v>0</v>
      </c>
      <c r="E29" s="142"/>
      <c r="F29" s="39"/>
      <c r="G29" s="71"/>
      <c r="H29" s="11"/>
      <c r="I29" s="128"/>
    </row>
    <row r="30" spans="1:9" s="125" customFormat="1" x14ac:dyDescent="0.25">
      <c r="A30" s="121" t="s">
        <v>76</v>
      </c>
      <c r="B30" s="141">
        <v>-173.3</v>
      </c>
      <c r="C30" s="141">
        <v>1212.5999999999999</v>
      </c>
      <c r="D30" s="141">
        <v>82.4</v>
      </c>
      <c r="E30" s="141" t="s">
        <v>105</v>
      </c>
      <c r="F30" s="122">
        <v>-510.5</v>
      </c>
      <c r="G30" s="123">
        <v>-139.80000000000001</v>
      </c>
      <c r="H30" s="126"/>
      <c r="I30" s="128"/>
    </row>
    <row r="31" spans="1:9" x14ac:dyDescent="0.25">
      <c r="A31" s="32" t="s">
        <v>77</v>
      </c>
      <c r="B31" s="132">
        <v>4085.8</v>
      </c>
      <c r="C31" s="133">
        <v>2291.1</v>
      </c>
      <c r="D31" s="133">
        <v>804.8</v>
      </c>
      <c r="E31" s="134" t="s">
        <v>106</v>
      </c>
      <c r="F31" s="38">
        <v>207.5</v>
      </c>
      <c r="G31" s="12">
        <v>689.8</v>
      </c>
      <c r="H31" s="11"/>
      <c r="I31" s="128"/>
    </row>
    <row r="32" spans="1:9" x14ac:dyDescent="0.25">
      <c r="A32" s="32" t="s">
        <v>78</v>
      </c>
      <c r="B32" s="135">
        <v>-4119.6000000000004</v>
      </c>
      <c r="C32" s="136">
        <v>-986.3</v>
      </c>
      <c r="D32" s="136">
        <v>-650.9</v>
      </c>
      <c r="E32" s="137" t="s">
        <v>107</v>
      </c>
      <c r="F32" s="39">
        <v>-644.20000000000005</v>
      </c>
      <c r="G32" s="24">
        <v>-1014.2</v>
      </c>
      <c r="H32" s="11"/>
      <c r="I32" s="128"/>
    </row>
    <row r="33" spans="1:8" x14ac:dyDescent="0.25">
      <c r="A33" s="32" t="s">
        <v>79</v>
      </c>
      <c r="B33" s="135">
        <v>-103.2</v>
      </c>
      <c r="C33" s="136">
        <v>-92.2</v>
      </c>
      <c r="D33" s="136">
        <v>-71.5</v>
      </c>
      <c r="E33" s="137" t="s">
        <v>108</v>
      </c>
      <c r="F33" s="39">
        <v>-73.8</v>
      </c>
      <c r="G33" s="24">
        <v>-64.400000000000006</v>
      </c>
      <c r="H33" s="11"/>
    </row>
    <row r="34" spans="1:8" x14ac:dyDescent="0.25">
      <c r="A34" s="32" t="s">
        <v>148</v>
      </c>
      <c r="B34" s="135">
        <v>-36.299999999999997</v>
      </c>
      <c r="C34" s="136"/>
      <c r="D34" s="136"/>
      <c r="E34" s="137"/>
      <c r="F34" s="39"/>
      <c r="G34" s="24"/>
      <c r="H34" s="11"/>
    </row>
    <row r="35" spans="1:8" x14ac:dyDescent="0.25">
      <c r="A35" s="32" t="s">
        <v>80</v>
      </c>
      <c r="B35" s="140">
        <v>0</v>
      </c>
      <c r="C35" s="138">
        <v>0</v>
      </c>
      <c r="D35" s="138">
        <v>0</v>
      </c>
      <c r="E35" s="139">
        <v>0</v>
      </c>
      <c r="F35" s="16" t="s">
        <v>29</v>
      </c>
      <c r="G35" s="13">
        <v>249</v>
      </c>
      <c r="H35" s="8"/>
    </row>
    <row r="36" spans="1:8" x14ac:dyDescent="0.25">
      <c r="A36" s="31" t="s">
        <v>81</v>
      </c>
      <c r="B36" s="131">
        <v>833.1</v>
      </c>
      <c r="C36" s="131">
        <v>229</v>
      </c>
      <c r="D36" s="131">
        <v>-94.5</v>
      </c>
      <c r="E36" s="131" t="s">
        <v>109</v>
      </c>
      <c r="F36" s="33">
        <v>-350.8</v>
      </c>
      <c r="G36" s="34">
        <v>364.2</v>
      </c>
      <c r="H36" s="11"/>
    </row>
    <row r="37" spans="1:8" x14ac:dyDescent="0.25">
      <c r="A37" s="32" t="s">
        <v>82</v>
      </c>
      <c r="B37" s="132">
        <v>85.9</v>
      </c>
      <c r="C37" s="133">
        <v>-17.5</v>
      </c>
      <c r="D37" s="133">
        <v>-26.2</v>
      </c>
      <c r="E37" s="134" t="s">
        <v>110</v>
      </c>
      <c r="F37" s="14">
        <v>-11.3</v>
      </c>
      <c r="G37" s="15">
        <v>7.6</v>
      </c>
      <c r="H37" s="11"/>
    </row>
    <row r="38" spans="1:8" x14ac:dyDescent="0.25">
      <c r="A38" s="32" t="s">
        <v>83</v>
      </c>
      <c r="B38" s="135">
        <v>860.2</v>
      </c>
      <c r="C38" s="136">
        <v>648.70000000000005</v>
      </c>
      <c r="D38" s="136">
        <v>769.4</v>
      </c>
      <c r="E38" s="137" t="s">
        <v>111</v>
      </c>
      <c r="F38" s="14">
        <v>886.8</v>
      </c>
      <c r="G38" s="15">
        <v>515</v>
      </c>
      <c r="H38" s="11"/>
    </row>
    <row r="39" spans="1:8" ht="15.75" thickBot="1" x14ac:dyDescent="0.3">
      <c r="A39" s="31" t="s">
        <v>84</v>
      </c>
      <c r="B39" s="143">
        <v>1779.2</v>
      </c>
      <c r="C39" s="143">
        <v>860.2</v>
      </c>
      <c r="D39" s="143">
        <v>648.70000000000005</v>
      </c>
      <c r="E39" s="143" t="s">
        <v>112</v>
      </c>
      <c r="F39" s="129">
        <v>524.70000000000005</v>
      </c>
      <c r="G39" s="130">
        <v>886.8</v>
      </c>
      <c r="H39" s="8"/>
    </row>
    <row r="40" spans="1:8" ht="15.75" thickTop="1" x14ac:dyDescent="0.25"/>
  </sheetData>
  <mergeCells count="1"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SOFP</vt:lpstr>
      <vt:lpstr>SOCF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Mosibudi Tungwane</dc:creator>
  <cp:lastModifiedBy>Nkazimulo</cp:lastModifiedBy>
  <dcterms:created xsi:type="dcterms:W3CDTF">2022-02-16T17:40:17Z</dcterms:created>
  <dcterms:modified xsi:type="dcterms:W3CDTF">2026-08-28T22:25:26Z</dcterms:modified>
</cp:coreProperties>
</file>